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ev\Desktop\"/>
    </mc:Choice>
  </mc:AlternateContent>
  <xr:revisionPtr revIDLastSave="0" documentId="13_ncr:1_{E6E58042-773B-43A1-801F-FDECA1034069}" xr6:coauthVersionLast="47" xr6:coauthVersionMax="47" xr10:uidLastSave="{00000000-0000-0000-0000-000000000000}"/>
  <bookViews>
    <workbookView xWindow="-108" yWindow="-108" windowWidth="23256" windowHeight="12456" xr2:uid="{08ACA979-68EE-45D4-873F-BB6BF16C7D77}"/>
  </bookViews>
  <sheets>
    <sheet name="Инвестиции эффективность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6" i="2" l="1"/>
  <c r="E306" i="2"/>
  <c r="C321" i="2"/>
  <c r="D321" i="2"/>
  <c r="B321" i="2"/>
  <c r="E321" i="2"/>
  <c r="F313" i="2"/>
  <c r="E313" i="2"/>
  <c r="D315" i="2"/>
  <c r="D317" i="2" s="1"/>
  <c r="C315" i="2"/>
  <c r="C316" i="2" s="1"/>
  <c r="B315" i="2"/>
  <c r="B316" i="2" s="1"/>
  <c r="D292" i="2"/>
  <c r="D298" i="2" s="1"/>
  <c r="C107" i="2"/>
  <c r="B107" i="2"/>
  <c r="E90" i="2"/>
  <c r="E314" i="2" l="1"/>
  <c r="E308" i="2"/>
  <c r="B317" i="2"/>
  <c r="C317" i="2"/>
  <c r="D316" i="2"/>
  <c r="E307" i="2"/>
  <c r="B266" i="2"/>
  <c r="E266" i="2" s="1"/>
  <c r="B265" i="2"/>
  <c r="E265" i="2" s="1"/>
  <c r="E259" i="2"/>
  <c r="F259" i="2" s="1"/>
  <c r="E260" i="2"/>
  <c r="F260" i="2" s="1"/>
  <c r="E261" i="2"/>
  <c r="F261" i="2" s="1"/>
  <c r="E258" i="2"/>
  <c r="F258" i="2" s="1"/>
  <c r="E251" i="2"/>
  <c r="F251" i="2" s="1"/>
  <c r="E252" i="2"/>
  <c r="F252" i="2" s="1"/>
  <c r="E253" i="2"/>
  <c r="F253" i="2" s="1"/>
  <c r="E250" i="2"/>
  <c r="F250" i="2" s="1"/>
  <c r="D262" i="2"/>
  <c r="C262" i="2"/>
  <c r="B262" i="2"/>
  <c r="D254" i="2"/>
  <c r="C254" i="2"/>
  <c r="B254" i="2"/>
  <c r="E227" i="2"/>
  <c r="E226" i="2"/>
  <c r="D223" i="2"/>
  <c r="C223" i="2"/>
  <c r="B223" i="2"/>
  <c r="F222" i="2"/>
  <c r="F221" i="2"/>
  <c r="F220" i="2"/>
  <c r="F219" i="2"/>
  <c r="B215" i="2"/>
  <c r="C215" i="2"/>
  <c r="D215" i="2"/>
  <c r="F212" i="2"/>
  <c r="F213" i="2"/>
  <c r="F214" i="2"/>
  <c r="F211" i="2"/>
  <c r="B197" i="2"/>
  <c r="B191" i="2"/>
  <c r="E127" i="2"/>
  <c r="F127" i="2" s="1"/>
  <c r="F135" i="2" s="1"/>
  <c r="B50" i="2"/>
  <c r="F180" i="2"/>
  <c r="D145" i="2"/>
  <c r="C145" i="2"/>
  <c r="B145" i="2"/>
  <c r="D129" i="2"/>
  <c r="D131" i="2" s="1"/>
  <c r="C129" i="2"/>
  <c r="C130" i="2" s="1"/>
  <c r="B129" i="2"/>
  <c r="B130" i="2" s="1"/>
  <c r="D107" i="2"/>
  <c r="C92" i="2"/>
  <c r="C94" i="2" s="1"/>
  <c r="D92" i="2"/>
  <c r="D94" i="2" s="1"/>
  <c r="B92" i="2"/>
  <c r="B94" i="2" s="1"/>
  <c r="C72" i="2"/>
  <c r="B72" i="2"/>
  <c r="D71" i="2"/>
  <c r="E71" i="2" s="1"/>
  <c r="D70" i="2"/>
  <c r="E70" i="2" s="1"/>
  <c r="D69" i="2"/>
  <c r="E69" i="2" s="1"/>
  <c r="D68" i="2"/>
  <c r="C47" i="2"/>
  <c r="B47" i="2"/>
  <c r="D46" i="2"/>
  <c r="E46" i="2" s="1"/>
  <c r="D45" i="2"/>
  <c r="E45" i="2" s="1"/>
  <c r="D44" i="2"/>
  <c r="E44" i="2" s="1"/>
  <c r="D43" i="2"/>
  <c r="E43" i="2" s="1"/>
  <c r="B27" i="2"/>
  <c r="B28" i="2" s="1"/>
  <c r="B13" i="2"/>
  <c r="B29" i="2" s="1"/>
  <c r="E274" i="2" l="1"/>
  <c r="E315" i="2"/>
  <c r="E309" i="2"/>
  <c r="C325" i="2" s="1"/>
  <c r="F314" i="2" s="1"/>
  <c r="F315" i="2" s="1"/>
  <c r="D278" i="2"/>
  <c r="D276" i="2"/>
  <c r="D274" i="2"/>
  <c r="D275" i="2" s="1"/>
  <c r="E267" i="2"/>
  <c r="F262" i="2"/>
  <c r="F254" i="2"/>
  <c r="D235" i="2"/>
  <c r="D236" i="2" s="1"/>
  <c r="D237" i="2"/>
  <c r="D239" i="2"/>
  <c r="E228" i="2"/>
  <c r="F215" i="2"/>
  <c r="B202" i="2"/>
  <c r="B203" i="2" s="1"/>
  <c r="F223" i="2"/>
  <c r="E135" i="2"/>
  <c r="E145" i="2"/>
  <c r="E128" i="2" s="1"/>
  <c r="E129" i="2" s="1"/>
  <c r="G127" i="2"/>
  <c r="G135" i="2" s="1"/>
  <c r="D130" i="2"/>
  <c r="B131" i="2"/>
  <c r="C131" i="2"/>
  <c r="E107" i="2"/>
  <c r="F90" i="2"/>
  <c r="E47" i="2"/>
  <c r="B51" i="2" s="1"/>
  <c r="B93" i="2"/>
  <c r="C93" i="2"/>
  <c r="D93" i="2"/>
  <c r="B30" i="2"/>
  <c r="B18" i="2"/>
  <c r="D72" i="2"/>
  <c r="E68" i="2"/>
  <c r="B16" i="2"/>
  <c r="B17" i="2"/>
  <c r="D47" i="2"/>
  <c r="G315" i="2" l="1"/>
  <c r="B327" i="2" s="1"/>
  <c r="B328" i="2" s="1"/>
  <c r="F317" i="2"/>
  <c r="F316" i="2"/>
  <c r="E317" i="2"/>
  <c r="E316" i="2"/>
  <c r="F278" i="2"/>
  <c r="E136" i="2"/>
  <c r="E137" i="2" s="1"/>
  <c r="D273" i="2"/>
  <c r="D272" i="2"/>
  <c r="F274" i="2"/>
  <c r="E278" i="2"/>
  <c r="E275" i="2"/>
  <c r="F275" i="2"/>
  <c r="F276" i="2"/>
  <c r="E277" i="2"/>
  <c r="D277" i="2"/>
  <c r="E276" i="2"/>
  <c r="E91" i="2"/>
  <c r="E92" i="2" s="1"/>
  <c r="E93" i="2" s="1"/>
  <c r="F91" i="2"/>
  <c r="F92" i="2" s="1"/>
  <c r="D238" i="2"/>
  <c r="D234" i="2"/>
  <c r="D241" i="2" s="1"/>
  <c r="D233" i="2"/>
  <c r="D242" i="2" s="1"/>
  <c r="F68" i="2"/>
  <c r="F69" i="2" s="1"/>
  <c r="F70" i="2" s="1"/>
  <c r="C80" i="2" s="1"/>
  <c r="F145" i="2"/>
  <c r="F128" i="2" s="1"/>
  <c r="F129" i="2" s="1"/>
  <c r="F131" i="2" s="1"/>
  <c r="B52" i="2"/>
  <c r="E131" i="2"/>
  <c r="E130" i="2"/>
  <c r="H127" i="2"/>
  <c r="H135" i="2" s="1"/>
  <c r="E72" i="2"/>
  <c r="B75" i="2" s="1"/>
  <c r="F277" i="2" l="1"/>
  <c r="E154" i="2"/>
  <c r="C117" i="2"/>
  <c r="C111" i="2"/>
  <c r="C114" i="2" s="1"/>
  <c r="E272" i="2"/>
  <c r="F272" i="2"/>
  <c r="F273" i="2"/>
  <c r="E273" i="2"/>
  <c r="D279" i="2"/>
  <c r="D280" i="2"/>
  <c r="D281" i="2"/>
  <c r="D240" i="2"/>
  <c r="F94" i="2"/>
  <c r="F71" i="2"/>
  <c r="B76" i="2"/>
  <c r="E94" i="2"/>
  <c r="G145" i="2"/>
  <c r="H145" i="2" s="1"/>
  <c r="H128" i="2" s="1"/>
  <c r="H129" i="2" s="1"/>
  <c r="F130" i="2"/>
  <c r="F136" i="2"/>
  <c r="F137" i="2" s="1"/>
  <c r="F139" i="2" s="1"/>
  <c r="E138" i="2"/>
  <c r="E139" i="2"/>
  <c r="F93" i="2"/>
  <c r="E168" i="2" l="1"/>
  <c r="E280" i="2"/>
  <c r="F280" i="2"/>
  <c r="E281" i="2"/>
  <c r="F281" i="2"/>
  <c r="E279" i="2"/>
  <c r="F279" i="2"/>
  <c r="F138" i="2"/>
  <c r="H136" i="2"/>
  <c r="H137" i="2" s="1"/>
  <c r="H154" i="2" s="1"/>
  <c r="H177" i="2" s="1"/>
  <c r="G136" i="2"/>
  <c r="G137" i="2" s="1"/>
  <c r="G139" i="2" s="1"/>
  <c r="F154" i="2"/>
  <c r="G128" i="2"/>
  <c r="G129" i="2" s="1"/>
  <c r="E177" i="2"/>
  <c r="H131" i="2"/>
  <c r="H130" i="2"/>
  <c r="G138" i="2" l="1"/>
  <c r="H139" i="2"/>
  <c r="H138" i="2"/>
  <c r="F177" i="2"/>
  <c r="F168" i="2"/>
  <c r="G154" i="2"/>
  <c r="G177" i="2" s="1"/>
  <c r="G130" i="2"/>
  <c r="G131" i="2"/>
  <c r="H168" i="2"/>
  <c r="E155" i="2" l="1"/>
  <c r="C159" i="2" s="1"/>
  <c r="G168" i="2"/>
  <c r="F179" i="2"/>
  <c r="F181" i="2" s="1"/>
  <c r="F170" i="2" l="1"/>
  <c r="F171" i="2" s="1"/>
  <c r="C161" i="2"/>
</calcChain>
</file>

<file path=xl/sharedStrings.xml><?xml version="1.0" encoding="utf-8"?>
<sst xmlns="http://schemas.openxmlformats.org/spreadsheetml/2006/main" count="367" uniqueCount="255">
  <si>
    <t>Выручка</t>
  </si>
  <si>
    <t>Себестоимость</t>
  </si>
  <si>
    <t>Прибыль</t>
  </si>
  <si>
    <t>Эффективность</t>
  </si>
  <si>
    <t>Срок окупаемости</t>
  </si>
  <si>
    <t>Формула рентабельности продаж</t>
  </si>
  <si>
    <t>Прибыль / Выручка</t>
  </si>
  <si>
    <t>Вложения</t>
  </si>
  <si>
    <t>(прибыль - вложения) / вложения</t>
  </si>
  <si>
    <t>Доход от депозита</t>
  </si>
  <si>
    <t>Вывод</t>
  </si>
  <si>
    <t>Доход от проекта</t>
  </si>
  <si>
    <t>Разница</t>
  </si>
  <si>
    <t>1 год</t>
  </si>
  <si>
    <t>2 год</t>
  </si>
  <si>
    <t>3 год</t>
  </si>
  <si>
    <t>4 год</t>
  </si>
  <si>
    <t>Итого</t>
  </si>
  <si>
    <t>Доход от банка</t>
  </si>
  <si>
    <t>Формула расчета сложного процента</t>
  </si>
  <si>
    <t>Формула расчета простого процента</t>
  </si>
  <si>
    <t>FV=P*(1+r*n)</t>
  </si>
  <si>
    <t>Чистый доход от депозита</t>
  </si>
  <si>
    <t>Формула расчета дисконтированного дохода</t>
  </si>
  <si>
    <t>PV=FV/(1+r)^n</t>
  </si>
  <si>
    <t>FV=PV*(1+r)^n</t>
  </si>
  <si>
    <t>Чист. дисконт.доход NPV</t>
  </si>
  <si>
    <t>NPV в пересчете будущ.денег</t>
  </si>
  <si>
    <t>Накопленный остаток</t>
  </si>
  <si>
    <t>-</t>
  </si>
  <si>
    <t>3 года и</t>
  </si>
  <si>
    <t>мес.</t>
  </si>
  <si>
    <t>Формула ROI (рентабельность инвестиций)</t>
  </si>
  <si>
    <t>Выручка за 1 год</t>
  </si>
  <si>
    <t>Себестоимость за 1 год</t>
  </si>
  <si>
    <t>Прибыль за 1 год</t>
  </si>
  <si>
    <t>Ставка депозита, годовых</t>
  </si>
  <si>
    <t>за 1 год</t>
  </si>
  <si>
    <t>проще говоря, на каждый вложенный 1 рубль мы получим дополнительные 31 коп. или прибыль от вложений составит 31%</t>
  </si>
  <si>
    <t>проще говоря, доля прибыли в выручке составляет 26%, т.е. из тех денег, которые платит клиент, мы забираем себе 26%, а остальное уходит на затраты</t>
  </si>
  <si>
    <t>Год 2023</t>
  </si>
  <si>
    <t>Год 2024</t>
  </si>
  <si>
    <t>Год 2025</t>
  </si>
  <si>
    <t>Затраты</t>
  </si>
  <si>
    <t>Рентабельность затрат</t>
  </si>
  <si>
    <t>Рентабельность продаж</t>
  </si>
  <si>
    <t>В 2026 году планируется какой-то проект по улучшению чего-либо</t>
  </si>
  <si>
    <t>Прогноз 2026 без проекта</t>
  </si>
  <si>
    <t>Прогноз 2026 с проектом</t>
  </si>
  <si>
    <t>Сценарий 1</t>
  </si>
  <si>
    <t>Сценарий 2</t>
  </si>
  <si>
    <t>Это самый простой способ прогнозирования, когда мы опираемся только на данные прошлых периодов</t>
  </si>
  <si>
    <t>Есть и другие, более сложные методы прогнозирования, когда мы можем учитывать корреляцию (связь) выручки с другими явлениями, например, с проведением какого-нибудь фестиваля вблизи гостиницы</t>
  </si>
  <si>
    <t>Планируемый рост выручки за счет проекта:</t>
  </si>
  <si>
    <t>Доля затрат в выручке</t>
  </si>
  <si>
    <t>Средняя (прогнозная на 2026)</t>
  </si>
  <si>
    <t>Затраты (вложения) в проект:</t>
  </si>
  <si>
    <t>Расчитаем эффективность наших вложений в проект. Если значение выше нуля, то проект окупает свои затраты и дополнительно приносит нам соответствующее количество процентов от вложения</t>
  </si>
  <si>
    <t>Существующая деятельность</t>
  </si>
  <si>
    <t>А что, если доход от проекта будет поступать в течение 4 лет, а не сразу за 1 год?</t>
  </si>
  <si>
    <t>Если рентабельность затрат падает, то бизнес больше работает на износ. Это путь к убыткам при колебании рынка</t>
  </si>
  <si>
    <t>Если рентабельность продаж падает, то уменьшается запас прочности (доли прибыли в выручке).</t>
  </si>
  <si>
    <t>Пример расчета эффективности проекта в случае его внедрения в существующую деятельность и оценки его эффективности спустя 1 год</t>
  </si>
  <si>
    <t>Пример расчета эффективности проекта в случае его внедрения в существующую деятельность и оценки его эффективности спустя 4 года</t>
  </si>
  <si>
    <t>Прогноз 2027 с проектом</t>
  </si>
  <si>
    <t>Прогноз 2027 без проекта</t>
  </si>
  <si>
    <t>Прогноз 2028 без проекта</t>
  </si>
  <si>
    <t>Прогноз 2029 без проекта</t>
  </si>
  <si>
    <t>Прогноз 2028 с проектом</t>
  </si>
  <si>
    <t>Прогноз 2029 с проектом</t>
  </si>
  <si>
    <t>Средняя (прогнозная на 2027)</t>
  </si>
  <si>
    <t>ежегодно</t>
  </si>
  <si>
    <t>Срок окупаемости:</t>
  </si>
  <si>
    <t>Расчитаем срок окупаемости затрат на проект (в месяцах)</t>
  </si>
  <si>
    <t>по результатам одного года</t>
  </si>
  <si>
    <t>Расчитаем эффект (прибыль) от внедренного проекта по годам</t>
  </si>
  <si>
    <t>Эффект (прибыль)</t>
  </si>
  <si>
    <t>Суммарнный эффект</t>
  </si>
  <si>
    <t>Расчитаем эффективность наших вложений в проект (ROI). Если значение выше нуля, то проект окупает свои затраты и дополнительно приносит нам соответствующее количество процентов от вложения</t>
  </si>
  <si>
    <t>Эффективность (ROI):</t>
  </si>
  <si>
    <t>Эффект (прибыль):</t>
  </si>
  <si>
    <t>лет</t>
  </si>
  <si>
    <t>Ставка депозита, годовых:</t>
  </si>
  <si>
    <t>Диск.доход (PV) 2026</t>
  </si>
  <si>
    <t>Диск.доход (PV) 2027</t>
  </si>
  <si>
    <t>Диск.доход (PV) 2028</t>
  </si>
  <si>
    <t>Диск.доход (PV) 2029</t>
  </si>
  <si>
    <t>NPV</t>
  </si>
  <si>
    <t>Диск.доход (FV) 2026</t>
  </si>
  <si>
    <t>Диск.доход (FV) 2027</t>
  </si>
  <si>
    <t>Диск.доход (FV) 2028</t>
  </si>
  <si>
    <t>Диск.доход (FV) 2029</t>
  </si>
  <si>
    <t>FV</t>
  </si>
  <si>
    <t>Доход от проекта с учетом банка</t>
  </si>
  <si>
    <t>Доход от банка без проекта</t>
  </si>
  <si>
    <t>Сценарий 2 (проект), расчет NPV</t>
  </si>
  <si>
    <t>Сценарий 2 (проект), расчет FV</t>
  </si>
  <si>
    <t>Для проверки сделаем обратный расчет NPV Сценария 2 (проекта), где расчитаем доходы будущего периода (FV) с учетом вложений ежегодных доходов от проекта в банк</t>
  </si>
  <si>
    <t>Разница (FV)</t>
  </si>
  <si>
    <t>показатель сошелся с FV, значит расчет NPV сделан верно</t>
  </si>
  <si>
    <t>если показатель выше нуля, то доходность от проекта выше, чем альтернативные безрисковые вложения</t>
  </si>
  <si>
    <r>
      <t>Черным жирным шрифтом</t>
    </r>
    <r>
      <rPr>
        <sz val="11"/>
        <color theme="1"/>
        <rFont val="Calibri"/>
        <family val="2"/>
        <charset val="204"/>
        <scheme val="minor"/>
      </rPr>
      <t xml:space="preserve"> ячейки с цифрами, которые можно изменять</t>
    </r>
  </si>
  <si>
    <t>УСЛОВНЫЕ ОБОЗНАЧЕНИЯ</t>
  </si>
  <si>
    <t>Вложений (ROI)</t>
  </si>
  <si>
    <t>Продаж</t>
  </si>
  <si>
    <t>Желтой заливкой - ключевой показатель эффективности</t>
  </si>
  <si>
    <t>А что если вместо этого проекта вложиться в банк на 1 год?</t>
  </si>
  <si>
    <t>Этот метод оценивает денежные потоки в будущем с учетом вложений полученный прибыли от проекта в банк под депозит!</t>
  </si>
  <si>
    <t>А если для сравнения обойтись без проекта, а просто вложить в банк на 4 года?</t>
  </si>
  <si>
    <t>расчитываем по формуле сложного процента и вычитаем изначальный размер вложений, чтобы понять чистого дохода от банка</t>
  </si>
  <si>
    <t>просто вычитаем изначальный размер вложений из итоговой суммы прибыли от проекта с учетом доп.дохода от банка</t>
  </si>
  <si>
    <t>вычитаем из дохода от проекта доход от банка и если число положительное, тогда, соответственно, проект выгоднее</t>
  </si>
  <si>
    <t>возводим в степень 3 потому, что полученную после первого года прибыль вложим на 3 года в банк</t>
  </si>
  <si>
    <t>возводим в степень 2 потому, что полученную после второго года прибыль вложим на 2 года в банк</t>
  </si>
  <si>
    <t>возводим в степень 1 потому, что полученную после третьего года прибыль вложим на 1 года в банк</t>
  </si>
  <si>
    <t>не возводим ни в какую степень потому, что полученную после четвертого года прибыль не вкладываем, ведь вклад и проект заканчиваются спустя 4 года</t>
  </si>
  <si>
    <t>Прибыль (FV)</t>
  </si>
  <si>
    <t>FV с учетом доп.дохода от банка</t>
  </si>
  <si>
    <t>FV (Future Value) с учетом доп.дохода от банка - это, проще говоря, то, сколько будут стоить деньги в будущем, если их хранить не под подушкой, а в банке (не в стеклянной)</t>
  </si>
  <si>
    <t>Это называется дисконтированием, то есть приведением стоимости будущих денег к их стоимости в настоящем времени.</t>
  </si>
  <si>
    <t>Пример 3 был дан просто для понимания логики того, что деньги с течением времени изменяются в стоимости, т.к. их можно вложить под процент в банк, а в банковском проценте уже учтен фактор обесценивания денег (инфляции).</t>
  </si>
  <si>
    <t>посмотрите, это та же самая формула расчета сложного процента, только наоборот</t>
  </si>
  <si>
    <t>Дисконтированный доход (PV)</t>
  </si>
  <si>
    <t>возводим в степень 1, т.к. это деньги после первого года</t>
  </si>
  <si>
    <t>возводим в степень 2, т.к. это деньги после второго года</t>
  </si>
  <si>
    <t>возводим в степень 3, т.к. это деньги после третьего года</t>
  </si>
  <si>
    <t>возводим в степень 4, т.к. это деньги после четвертого года</t>
  </si>
  <si>
    <t>накопленный остаток, это сумма, которая у нас остается с учётом того, что наши вложения начинают окупаться</t>
  </si>
  <si>
    <t>Важно, что на практике оценивают не стоимость денег в будущем, как мы это делали в примере 3, а наоборот, переносят стоимость будущих дежных потоков (FV) в настоящее, по той же самой логике из примера 3.</t>
  </si>
  <si>
    <t>Если не вкладывать деньги в банк, а хранить их под подушкой, то они просто будут обесцениваться. Если вложить в банк - то банковский процент погасет инфляцию. Обычно ставка ЦБ определяется как раз в зависимости от инфляции</t>
  </si>
  <si>
    <r>
      <t xml:space="preserve">Формула расчета </t>
    </r>
    <r>
      <rPr>
        <b/>
        <u/>
        <sz val="11"/>
        <color theme="1"/>
        <rFont val="Calibri"/>
        <family val="2"/>
        <charset val="204"/>
        <scheme val="minor"/>
      </rPr>
      <t>чистого</t>
    </r>
    <r>
      <rPr>
        <b/>
        <sz val="11"/>
        <color theme="1"/>
        <rFont val="Calibri"/>
        <family val="2"/>
        <charset val="204"/>
        <scheme val="minor"/>
      </rPr>
      <t xml:space="preserve"> дисконтированного дохода</t>
    </r>
  </si>
  <si>
    <t>NPV=ΣFV-IC</t>
  </si>
  <si>
    <t>из суммы дисконтированного дохода вычитаем размер вложений (инвестиций)</t>
  </si>
  <si>
    <r>
      <t>Вложения</t>
    </r>
    <r>
      <rPr>
        <i/>
        <sz val="11"/>
        <color theme="1"/>
        <rFont val="Calibri"/>
        <family val="2"/>
        <charset val="204"/>
        <scheme val="minor"/>
      </rPr>
      <t xml:space="preserve"> (IC - Invested Capital)</t>
    </r>
  </si>
  <si>
    <t>если NPV выше нуля, то вложение денег в проект выгоднее, чем просто в банк; если равен нулю, то значит ровно столько же можно заработать и с банковского депозита ничем не рискуя.</t>
  </si>
  <si>
    <t>3 года, если по расчетам на 4 год уже накопленный остаток положительный</t>
  </si>
  <si>
    <t>если по формуле сложного процента перевести сумму NPV (то есть стоимость сегодняшних денег перевести в будущую стоимость, как мы это делали в примере 3) , то мы получим сумму разницы из примера 3</t>
  </si>
  <si>
    <t>Таким образом NPV - это и есть та разница между доходом от проекта и банковским депозитом из примера 3, только переведенная в стоимость денег сегодняшнего дня</t>
  </si>
  <si>
    <t>Поэтому можно еще раз убедиться, что этот метод такой же как и в примере 3, просто в обратном направлении.</t>
  </si>
  <si>
    <t>чтобы расчитать в какой месяц окупятся вложения возьмём последнюю отрицательную сумму накопленного остатка по модулю и разделим на сумму, которая приведет накопленный остаток к положительной величине</t>
  </si>
  <si>
    <r>
      <t xml:space="preserve">ПРИМЕР 4 </t>
    </r>
    <r>
      <rPr>
        <sz val="16"/>
        <color theme="1"/>
        <rFont val="Calibri"/>
        <family val="2"/>
        <charset val="204"/>
        <scheme val="minor"/>
      </rPr>
      <t>(ТО ЖЕ САМОЕ, ЧТО И ПРИМЕР 3, ТОЛЬКО С ОБРАТНЫМ РАСЧЁТОМ)</t>
    </r>
  </si>
  <si>
    <r>
      <t>ПРИМЕР 1</t>
    </r>
    <r>
      <rPr>
        <sz val="16"/>
        <color theme="1"/>
        <rFont val="Calibri"/>
        <family val="2"/>
        <charset val="204"/>
        <scheme val="minor"/>
      </rPr>
      <t xml:space="preserve"> (САМЫЙ ЭЛЕМЕНТАРНЫЙ РАСЧЕТ ЭФФЕКТИВНОСТИ)</t>
    </r>
  </si>
  <si>
    <r>
      <t xml:space="preserve">ПРИМЕР 2 </t>
    </r>
    <r>
      <rPr>
        <sz val="16"/>
        <color theme="1"/>
        <rFont val="Calibri"/>
        <family val="2"/>
        <charset val="204"/>
        <scheme val="minor"/>
      </rPr>
      <t>(СРАВНЕНИЕ ПРИМЕРА 1 С АЛЬТЕРНАТИВНЫМИ ВЛОЖЕНИЯМИ - В БАНК ПОД ДЕПОЗИТ)</t>
    </r>
  </si>
  <si>
    <r>
      <t xml:space="preserve">ПРИМЕР 3 </t>
    </r>
    <r>
      <rPr>
        <sz val="16"/>
        <color theme="1"/>
        <rFont val="Calibri"/>
        <family val="2"/>
        <charset val="204"/>
        <scheme val="minor"/>
      </rPr>
      <t>(УСЛОЖНЕНИЕ ПРИМЕРА 1 С ПОСТУПЛЕНИЕМ ПРИБЫЛИ В ТЕЧЕНИЕ 4 ЛЕТ И ДОПОЛНИТЕЛЬНЫМ ВЛОЖЕНИЕМ ПОСТУПАЮЩЕЙ ПРИБЫЛИ В БАНК ПОД ДЕПОЗИТ)</t>
    </r>
  </si>
  <si>
    <r>
      <t xml:space="preserve">ПРИМЕР 5 </t>
    </r>
    <r>
      <rPr>
        <sz val="16"/>
        <color theme="1"/>
        <rFont val="Calibri"/>
        <family val="2"/>
        <charset val="204"/>
        <scheme val="minor"/>
      </rPr>
      <t>(РАСЧЁТ ЭФФЕКТИВНОСТИ ОТ ПРОЕКТА, ВНЕДРЯЕМОГО В СУЩЕСТВУЮЩУЮ ДЕЯТЕЛЬНОСТИ ОРГАНИЗАЦИИ)</t>
    </r>
  </si>
  <si>
    <t>Для того, чтобы спланировать выручку без проекта (сценарий 1), просто возьмём среднюю величину выручки за предыдущие 3 года</t>
  </si>
  <si>
    <t>Для того, чтобы спланировать размер затрат в 2026 году выясним, какова была доля затрат в выручке за прошлые годы и определим среднюю долю, которая и будет прогнозной:</t>
  </si>
  <si>
    <r>
      <t xml:space="preserve">ПРИМЕР 6 </t>
    </r>
    <r>
      <rPr>
        <sz val="16"/>
        <color theme="1"/>
        <rFont val="Calibri"/>
        <family val="2"/>
        <charset val="204"/>
        <scheme val="minor"/>
      </rPr>
      <t>(РАСЧЁТ ЭФФЕКТИВНОСТИ ОТ ПРОЕКТА, ВНЕДРЯЕМОГО В СУЩЕСТВУЮЩУЮ ДЕЯТЕЛЬНОСТИ ОРГАНИЗАЦИИ, С ПОСТУПЛЕНИЕМ ПРИБЫЛИ В ТЕЧЕНИЕ 4 ЛЕТ)</t>
    </r>
  </si>
  <si>
    <t>Для того, чтобы спланировать размер выручки в сценарии 1 (без проекта), возьмём усредненные данные прошлых 3 лет (по методу "скользящей средней").</t>
  </si>
  <si>
    <t>Для того, чтобы спланировать размер затрат в 2026, 2027, 2028, 2029 годах выяним, какова была доля затрат в выручке за прошедшие 3 года (по методу "скользящей средней) и определим среднее значение, которое и будет прогнозным:</t>
  </si>
  <si>
    <t>Сравним доходность от вложения в этот проект с альтернативными безрисковыми вложениями (банковский депозит) с помощью расчета чистого дисконтированного дохода (NPV)</t>
  </si>
  <si>
    <t>переведём по формуле сложного процента, чтобы сделать проверку</t>
  </si>
  <si>
    <r>
      <t xml:space="preserve">ПРИМЕР 7 </t>
    </r>
    <r>
      <rPr>
        <sz val="16"/>
        <color theme="1"/>
        <rFont val="Calibri"/>
        <family val="2"/>
        <charset val="204"/>
        <scheme val="minor"/>
      </rPr>
      <t>(РАСЧЁТ ТОЧКИ БЕЗУБЫТОЧНОСТИ)</t>
    </r>
  </si>
  <si>
    <t>Аренда</t>
  </si>
  <si>
    <t>Зарплата</t>
  </si>
  <si>
    <t>Реклама</t>
  </si>
  <si>
    <t>Примеры постоянных затрат</t>
  </si>
  <si>
    <t>Бутылка воды</t>
  </si>
  <si>
    <t>Мыло, шампунь, тапочки</t>
  </si>
  <si>
    <t>Стирка белья</t>
  </si>
  <si>
    <t>Итого постоянных затрат:</t>
  </si>
  <si>
    <t>Итого переменных затрат:</t>
  </si>
  <si>
    <t>Примеры переменных затрат на 1 услугу</t>
  </si>
  <si>
    <t>Цена для клиента за 1 услугу</t>
  </si>
  <si>
    <t>Точка безубыточности (в кол-ве)</t>
  </si>
  <si>
    <t>Точка безубыточности (в деньгах)</t>
  </si>
  <si>
    <t>ден.единиц</t>
  </si>
  <si>
    <t>услуг</t>
  </si>
  <si>
    <t>Формула расчета точки безубыточности</t>
  </si>
  <si>
    <t>Постоянные затраты / (Цена за 1 услугу - переменные затраты на 1 услугу)</t>
  </si>
  <si>
    <r>
      <t xml:space="preserve">ПРИМЕР 8 </t>
    </r>
    <r>
      <rPr>
        <sz val="16"/>
        <color theme="1"/>
        <rFont val="Calibri"/>
        <family val="2"/>
        <charset val="204"/>
        <scheme val="minor"/>
      </rPr>
      <t>(РАСЧЁТ ОСНОВНЫХ ГОСТИНИЧНЫХ ПОКАЗАТЕЛЕЙ)</t>
    </r>
  </si>
  <si>
    <t>Выручка от проданных номеров (Room Revenue)</t>
  </si>
  <si>
    <t>Загрузка гостиницы (Occupancy)</t>
  </si>
  <si>
    <t>Средний доход на 1 номер среди всех купленных номеров (ADR)</t>
  </si>
  <si>
    <t>Средний доход на 1 номер среди всех номеров (RevPAR)</t>
  </si>
  <si>
    <t>Средний доход на 1 гостя (RevPAC)</t>
  </si>
  <si>
    <t>Общая выручка гостиницы (Total Revenue)</t>
  </si>
  <si>
    <t>Среднее количество проживающих в номере (Double Occupancy)</t>
  </si>
  <si>
    <t>Продано номеров</t>
  </si>
  <si>
    <t>Одноместные номера</t>
  </si>
  <si>
    <t>Всего</t>
  </si>
  <si>
    <t>Продано</t>
  </si>
  <si>
    <t>Человек</t>
  </si>
  <si>
    <t>1 января</t>
  </si>
  <si>
    <t>Двухместные номера</t>
  </si>
  <si>
    <t>Полулюксы</t>
  </si>
  <si>
    <t>Люксы</t>
  </si>
  <si>
    <t>Цена за 1 номер в сутки</t>
  </si>
  <si>
    <t>Выручка за номер в сутки</t>
  </si>
  <si>
    <r>
      <rPr>
        <sz val="11"/>
        <color rgb="FFFF0000"/>
        <rFont val="Calibri"/>
        <family val="2"/>
        <charset val="204"/>
        <scheme val="minor"/>
      </rPr>
      <t>Красным шрифтом</t>
    </r>
    <r>
      <rPr>
        <sz val="11"/>
        <color theme="1"/>
        <rFont val="Calibri"/>
        <family val="2"/>
        <charset val="204"/>
        <scheme val="minor"/>
      </rPr>
      <t xml:space="preserve"> выделены ячейки с формулами</t>
    </r>
    <r>
      <rPr>
        <sz val="11"/>
        <color theme="1"/>
        <rFont val="Calibri"/>
        <family val="2"/>
        <charset val="204"/>
        <scheme val="minor"/>
      </rPr>
      <t>, не меняйте эти ячейки, чтобы не сбить формулу</t>
    </r>
  </si>
  <si>
    <t>2 января</t>
  </si>
  <si>
    <t>Доп.услуги</t>
  </si>
  <si>
    <t>Завтрак</t>
  </si>
  <si>
    <t>СПА</t>
  </si>
  <si>
    <t>Цена на 1 чел.</t>
  </si>
  <si>
    <t>Продано 01.01</t>
  </si>
  <si>
    <t>Продано 02.01</t>
  </si>
  <si>
    <t xml:space="preserve">Общее количество номеров в гостинице </t>
  </si>
  <si>
    <t>Общее количество номер-дней в гостинице</t>
  </si>
  <si>
    <t>дня</t>
  </si>
  <si>
    <t>Таким же образом составляется статистика по остальным дням. Для упрощения допустим, что гостиница работала:</t>
  </si>
  <si>
    <t>Для этого снизит цены, но увеличит загрузку. Как это отразится на ADR, RevPAR и RevPAC?</t>
  </si>
  <si>
    <t>Допустим гостиница в следующем году хочет изменить концепцию и привлекать группы спортсменов, участвующих на соревновании в соседнем спорткомплексе.</t>
  </si>
  <si>
    <t>2025 год. Дата</t>
  </si>
  <si>
    <t>2026 год. Дата</t>
  </si>
  <si>
    <t>Снижение цены на:</t>
  </si>
  <si>
    <t>в сравнении с прошлым годом</t>
  </si>
  <si>
    <t>Отклонение в сравнении с 2025 г.</t>
  </si>
  <si>
    <t>Отклонение в сравнении с 2025 г., %</t>
  </si>
  <si>
    <r>
      <t>Общая выручка гостиницы</t>
    </r>
    <r>
      <rPr>
        <b/>
        <sz val="11"/>
        <color theme="1"/>
        <rFont val="Calibri"/>
        <family val="2"/>
        <charset val="204"/>
        <scheme val="minor"/>
      </rPr>
      <t xml:space="preserve"> (Total Revenue)</t>
    </r>
  </si>
  <si>
    <r>
      <t>Выручка от проданных номеров</t>
    </r>
    <r>
      <rPr>
        <b/>
        <sz val="11"/>
        <color theme="1"/>
        <rFont val="Calibri"/>
        <family val="2"/>
        <charset val="204"/>
        <scheme val="minor"/>
      </rPr>
      <t xml:space="preserve"> (Room Revenue)</t>
    </r>
  </si>
  <si>
    <r>
      <t>Общее количество номеров в гостинице</t>
    </r>
    <r>
      <rPr>
        <b/>
        <sz val="11"/>
        <color theme="1"/>
        <rFont val="Calibri"/>
        <family val="2"/>
        <charset val="204"/>
        <scheme val="minor"/>
      </rPr>
      <t xml:space="preserve"> (Total Rooms)</t>
    </r>
  </si>
  <si>
    <r>
      <t>Общее количество номер-дней в гостинице</t>
    </r>
    <r>
      <rPr>
        <b/>
        <sz val="11"/>
        <color theme="1"/>
        <rFont val="Calibri"/>
        <family val="2"/>
        <charset val="204"/>
        <scheme val="minor"/>
      </rPr>
      <t xml:space="preserve"> (Rooms Available)</t>
    </r>
  </si>
  <si>
    <r>
      <t>Продано номеров</t>
    </r>
    <r>
      <rPr>
        <b/>
        <sz val="11"/>
        <color theme="1"/>
        <rFont val="Calibri"/>
        <family val="2"/>
        <charset val="204"/>
        <scheme val="minor"/>
      </rPr>
      <t xml:space="preserve"> (Occupied Rooms)</t>
    </r>
  </si>
  <si>
    <r>
      <t>Загрузка гостиницы</t>
    </r>
    <r>
      <rPr>
        <b/>
        <sz val="11"/>
        <color theme="1"/>
        <rFont val="Calibri"/>
        <family val="2"/>
        <charset val="204"/>
        <scheme val="minor"/>
      </rPr>
      <t xml:space="preserve"> (Occupancy)</t>
    </r>
  </si>
  <si>
    <r>
      <t>Среднее количество проживающих в номере</t>
    </r>
    <r>
      <rPr>
        <b/>
        <sz val="11"/>
        <color theme="1"/>
        <rFont val="Calibri"/>
        <family val="2"/>
        <charset val="204"/>
        <scheme val="minor"/>
      </rPr>
      <t xml:space="preserve"> (Double Occupancy)</t>
    </r>
  </si>
  <si>
    <r>
      <t xml:space="preserve">Средний доход на 1 номер среди всех купленных номеров </t>
    </r>
    <r>
      <rPr>
        <b/>
        <sz val="11"/>
        <color theme="1"/>
        <rFont val="Calibri"/>
        <family val="2"/>
        <charset val="204"/>
        <scheme val="minor"/>
      </rPr>
      <t>(ADR)</t>
    </r>
  </si>
  <si>
    <r>
      <t>Средний доход на 1 номер среди всех номеров</t>
    </r>
    <r>
      <rPr>
        <b/>
        <sz val="11"/>
        <color theme="1"/>
        <rFont val="Calibri"/>
        <family val="2"/>
        <charset val="204"/>
        <scheme val="minor"/>
      </rPr>
      <t xml:space="preserve"> (RevPAR)</t>
    </r>
  </si>
  <si>
    <r>
      <t>Средний доход на 1 гостя</t>
    </r>
    <r>
      <rPr>
        <b/>
        <sz val="11"/>
        <color theme="1"/>
        <rFont val="Calibri"/>
        <family val="2"/>
        <charset val="204"/>
        <scheme val="minor"/>
      </rPr>
      <t xml:space="preserve"> (RevPAC)</t>
    </r>
  </si>
  <si>
    <t>проект выгоднее, если разница положительная</t>
  </si>
  <si>
    <t>размер вложений делим на разницу между сценарием 2 и сценарием 1 и полученный результат умножаем на 12</t>
  </si>
  <si>
    <t>Расчитаем эффект (прибыль) от внедренного проекта. Для этого вычтем из прибыли по сценарию 2 прибыль по сценарию 1 и дополнительно вычтем затраты (вложения) в проект</t>
  </si>
  <si>
    <t>В суммарном эффекте вычитаем размер вложений в проект</t>
  </si>
  <si>
    <t>Количество уволенных за год</t>
  </si>
  <si>
    <t>Коэфициент текучести кадров</t>
  </si>
  <si>
    <t>Количество уволенных за год / Среднесписочная численность за год</t>
  </si>
  <si>
    <t>Среднесписочная численность за год</t>
  </si>
  <si>
    <t>Ожидаемое снижение коэфициента текучести кадров</t>
  </si>
  <si>
    <t>Коэфицицент текучести кадров после внедрения мероприятия</t>
  </si>
  <si>
    <t>Формула расчета коэфициента текучести кадров</t>
  </si>
  <si>
    <t>Формула расчета коэфициента текучести кадров после внедрения мероприятия</t>
  </si>
  <si>
    <t>Коэфициент до внедрения * (1 - ожидаемое снижение)</t>
  </si>
  <si>
    <r>
      <t xml:space="preserve">ПРИМЕР 9 </t>
    </r>
    <r>
      <rPr>
        <sz val="16"/>
        <color theme="1"/>
        <rFont val="Calibri"/>
        <family val="2"/>
        <charset val="204"/>
        <scheme val="minor"/>
      </rPr>
      <t>(РАСЧЁТ СОЦИАЛЬНОЙ И ЭКОНОМИЧЕСКОЙ ЭФФЕКТИВНОСТИ)</t>
    </r>
  </si>
  <si>
    <t>Пример расчета экономической эффективности на основе социальной эффективности (по аналогии с примером №5)</t>
  </si>
  <si>
    <t>Для начала посчитаем снижение затрат организации в связи со снижением текучести кадров</t>
  </si>
  <si>
    <t>Средняя зарплата линейного персонала</t>
  </si>
  <si>
    <t>В 2026 году планируется какой-то проект по улучшению системы мотивации линейного персонала</t>
  </si>
  <si>
    <t>Затраты на поиск и адаптацию 1 нового сотрудника, % от з/п</t>
  </si>
  <si>
    <t>Затраты на поиск и адаптацию 1 нового сотрудника, руб.</t>
  </si>
  <si>
    <t>Снижение затрат на поиск и адаптацию после внедрения мероприятия</t>
  </si>
  <si>
    <t>Общие затраты на поиск и адаптацию при текучести кадров до внедрения мероприятия</t>
  </si>
  <si>
    <t>Общие затраты на поиск и адаптацию при текучести кадров после внедрения мероприятия</t>
  </si>
  <si>
    <t>Планируемое снижение затрат</t>
  </si>
  <si>
    <t>Прогноз 2026 без внедрения</t>
  </si>
  <si>
    <t>Прогноз 2026 с внедрением</t>
  </si>
  <si>
    <t>прирост прибыли</t>
  </si>
  <si>
    <t>Эффект</t>
  </si>
  <si>
    <t>Эффективность (ROI)</t>
  </si>
  <si>
    <t>актуально в случае, если каждый месяц одинаковая прибыль</t>
  </si>
  <si>
    <t>эту цифру мы уже рассчитали выше</t>
  </si>
  <si>
    <t>к примеру, эксперты утверждают, что поиск нового сотрудника обходится в такой процент от зарплаты</t>
  </si>
  <si>
    <t>Если при изменении исходных цифр, эффект в первый год получится отрицательным, то сделайте окупаемость за несколько лет (по аналогии с примером №6)</t>
  </si>
  <si>
    <t>снижение текучести на этот процент</t>
  </si>
  <si>
    <t>Социальная эффективность (социальный результат) для организации</t>
  </si>
  <si>
    <t>Пример расчета социальной эффективности в случае внедрения мероприятий по изменению системы мотивации персонала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</si>
</sst>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Angsana New"/>
      <family val="1"/>
      <charset val="222"/>
    </font>
    <font>
      <b/>
      <u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4">
    <xf numFmtId="0" fontId="0" fillId="0" borderId="0" xfId="0"/>
    <xf numFmtId="3" fontId="3" fillId="2" borderId="0" xfId="0" applyNumberFormat="1" applyFont="1" applyFill="1" applyAlignment="1">
      <alignment horizontal="center"/>
    </xf>
    <xf numFmtId="9" fontId="3" fillId="2" borderId="0" xfId="1" applyFont="1" applyFill="1" applyAlignment="1">
      <alignment horizontal="center"/>
    </xf>
    <xf numFmtId="0" fontId="0" fillId="3" borderId="0" xfId="0" applyFill="1"/>
    <xf numFmtId="0" fontId="0" fillId="3" borderId="3" xfId="0" applyFill="1" applyBorder="1"/>
    <xf numFmtId="9" fontId="3" fillId="2" borderId="2" xfId="1" applyFont="1" applyFill="1" applyBorder="1" applyAlignment="1">
      <alignment horizontal="center"/>
    </xf>
    <xf numFmtId="0" fontId="2" fillId="5" borderId="0" xfId="0" applyFont="1" applyFill="1"/>
    <xf numFmtId="0" fontId="0" fillId="5" borderId="0" xfId="0" applyFill="1"/>
    <xf numFmtId="0" fontId="0" fillId="5" borderId="2" xfId="0" applyFill="1" applyBorder="1"/>
    <xf numFmtId="3" fontId="2" fillId="5" borderId="2" xfId="0" applyNumberFormat="1" applyFont="1" applyFill="1" applyBorder="1" applyAlignment="1">
      <alignment horizontal="center"/>
    </xf>
    <xf numFmtId="3" fontId="3" fillId="5" borderId="2" xfId="0" applyNumberFormat="1" applyFont="1" applyFill="1" applyBorder="1" applyAlignment="1">
      <alignment horizontal="center"/>
    </xf>
    <xf numFmtId="3" fontId="0" fillId="5" borderId="0" xfId="0" applyNumberFormat="1" applyFill="1"/>
    <xf numFmtId="9" fontId="3" fillId="5" borderId="2" xfId="1" applyFont="1" applyFill="1" applyBorder="1" applyAlignment="1">
      <alignment horizontal="center"/>
    </xf>
    <xf numFmtId="0" fontId="5" fillId="5" borderId="0" xfId="0" applyFont="1" applyFill="1"/>
    <xf numFmtId="164" fontId="3" fillId="5" borderId="2" xfId="0" applyNumberFormat="1" applyFont="1" applyFill="1" applyBorder="1" applyAlignment="1">
      <alignment horizontal="center"/>
    </xf>
    <xf numFmtId="0" fontId="2" fillId="5" borderId="3" xfId="0" applyFont="1" applyFill="1" applyBorder="1"/>
    <xf numFmtId="0" fontId="0" fillId="5" borderId="3" xfId="0" applyFill="1" applyBorder="1"/>
    <xf numFmtId="0" fontId="0" fillId="6" borderId="0" xfId="0" applyFill="1"/>
    <xf numFmtId="0" fontId="2" fillId="6" borderId="0" xfId="0" applyFont="1" applyFill="1"/>
    <xf numFmtId="0" fontId="0" fillId="6" borderId="0" xfId="0" applyFill="1" applyAlignment="1">
      <alignment horizontal="center"/>
    </xf>
    <xf numFmtId="9" fontId="2" fillId="6" borderId="0" xfId="1" applyFont="1" applyFill="1" applyAlignment="1">
      <alignment horizontal="center"/>
    </xf>
    <xf numFmtId="3" fontId="0" fillId="6" borderId="0" xfId="0" applyNumberFormat="1" applyFill="1" applyAlignment="1">
      <alignment horizontal="center"/>
    </xf>
    <xf numFmtId="0" fontId="0" fillId="7" borderId="0" xfId="0" applyFill="1"/>
    <xf numFmtId="3" fontId="0" fillId="7" borderId="0" xfId="0" applyNumberFormat="1" applyFill="1" applyAlignment="1">
      <alignment horizontal="center"/>
    </xf>
    <xf numFmtId="0" fontId="2" fillId="7" borderId="0" xfId="0" applyFont="1" applyFill="1"/>
    <xf numFmtId="3" fontId="2" fillId="7" borderId="0" xfId="0" applyNumberFormat="1" applyFont="1" applyFill="1" applyAlignment="1">
      <alignment horizontal="center"/>
    </xf>
    <xf numFmtId="0" fontId="0" fillId="7" borderId="2" xfId="0" applyFill="1" applyBorder="1"/>
    <xf numFmtId="3" fontId="0" fillId="7" borderId="2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3" fontId="2" fillId="7" borderId="2" xfId="0" applyNumberFormat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3" fontId="3" fillId="7" borderId="2" xfId="0" applyNumberFormat="1" applyFont="1" applyFill="1" applyBorder="1" applyAlignment="1">
      <alignment horizontal="center"/>
    </xf>
    <xf numFmtId="1" fontId="3" fillId="7" borderId="2" xfId="0" applyNumberFormat="1" applyFont="1" applyFill="1" applyBorder="1" applyAlignment="1">
      <alignment horizontal="center"/>
    </xf>
    <xf numFmtId="3" fontId="3" fillId="7" borderId="0" xfId="0" applyNumberFormat="1" applyFont="1" applyFill="1" applyAlignment="1">
      <alignment horizontal="center"/>
    </xf>
    <xf numFmtId="1" fontId="3" fillId="7" borderId="0" xfId="0" applyNumberFormat="1" applyFont="1" applyFill="1" applyAlignment="1">
      <alignment horizontal="center"/>
    </xf>
    <xf numFmtId="0" fontId="0" fillId="7" borderId="1" xfId="0" applyFill="1" applyBorder="1"/>
    <xf numFmtId="3" fontId="0" fillId="7" borderId="1" xfId="0" applyNumberFormat="1" applyFill="1" applyBorder="1" applyAlignment="1">
      <alignment horizontal="center"/>
    </xf>
    <xf numFmtId="0" fontId="5" fillId="7" borderId="0" xfId="0" applyFont="1" applyFill="1"/>
    <xf numFmtId="0" fontId="0" fillId="7" borderId="3" xfId="0" applyFill="1" applyBorder="1"/>
    <xf numFmtId="3" fontId="0" fillId="7" borderId="3" xfId="0" applyNumberFormat="1" applyFill="1" applyBorder="1" applyAlignment="1">
      <alignment horizontal="center"/>
    </xf>
    <xf numFmtId="0" fontId="0" fillId="6" borderId="3" xfId="0" applyFill="1" applyBorder="1"/>
    <xf numFmtId="0" fontId="2" fillId="8" borderId="0" xfId="0" applyFont="1" applyFill="1"/>
    <xf numFmtId="3" fontId="0" fillId="8" borderId="0" xfId="0" applyNumberFormat="1" applyFill="1" applyAlignment="1">
      <alignment horizontal="center"/>
    </xf>
    <xf numFmtId="0" fontId="0" fillId="8" borderId="0" xfId="0" applyFill="1"/>
    <xf numFmtId="0" fontId="0" fillId="8" borderId="3" xfId="0" applyFill="1" applyBorder="1"/>
    <xf numFmtId="3" fontId="2" fillId="8" borderId="0" xfId="0" applyNumberFormat="1" applyFont="1" applyFill="1" applyAlignment="1">
      <alignment horizontal="center"/>
    </xf>
    <xf numFmtId="0" fontId="0" fillId="8" borderId="2" xfId="0" applyFill="1" applyBorder="1"/>
    <xf numFmtId="3" fontId="0" fillId="8" borderId="2" xfId="0" applyNumberForma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3" fontId="2" fillId="8" borderId="2" xfId="0" applyNumberFormat="1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3" fontId="3" fillId="8" borderId="2" xfId="0" applyNumberFormat="1" applyFont="1" applyFill="1" applyBorder="1" applyAlignment="1">
      <alignment horizontal="center"/>
    </xf>
    <xf numFmtId="1" fontId="3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1" fontId="3" fillId="8" borderId="0" xfId="0" applyNumberFormat="1" applyFont="1" applyFill="1" applyAlignment="1">
      <alignment horizontal="center"/>
    </xf>
    <xf numFmtId="3" fontId="3" fillId="8" borderId="0" xfId="0" applyNumberFormat="1" applyFont="1" applyFill="1" applyAlignment="1">
      <alignment horizontal="center"/>
    </xf>
    <xf numFmtId="0" fontId="5" fillId="8" borderId="0" xfId="0" applyFont="1" applyFill="1"/>
    <xf numFmtId="3" fontId="0" fillId="8" borderId="0" xfId="0" applyNumberFormat="1" applyFill="1" applyAlignment="1">
      <alignment horizontal="right"/>
    </xf>
    <xf numFmtId="0" fontId="0" fillId="9" borderId="3" xfId="0" applyFill="1" applyBorder="1"/>
    <xf numFmtId="0" fontId="2" fillId="9" borderId="0" xfId="0" applyFont="1" applyFill="1"/>
    <xf numFmtId="0" fontId="0" fillId="9" borderId="0" xfId="0" applyFill="1"/>
    <xf numFmtId="0" fontId="0" fillId="9" borderId="0" xfId="0" applyFill="1" applyAlignment="1">
      <alignment horizontal="center"/>
    </xf>
    <xf numFmtId="0" fontId="2" fillId="9" borderId="0" xfId="0" applyFont="1" applyFill="1" applyAlignment="1">
      <alignment horizontal="center"/>
    </xf>
    <xf numFmtId="9" fontId="2" fillId="9" borderId="0" xfId="1" applyFont="1" applyFill="1" applyAlignment="1">
      <alignment horizontal="center"/>
    </xf>
    <xf numFmtId="0" fontId="3" fillId="9" borderId="0" xfId="0" applyFont="1" applyFill="1" applyAlignment="1">
      <alignment horizontal="center"/>
    </xf>
    <xf numFmtId="3" fontId="3" fillId="9" borderId="0" xfId="0" applyNumberFormat="1" applyFont="1" applyFill="1" applyAlignment="1">
      <alignment horizontal="center"/>
    </xf>
    <xf numFmtId="3" fontId="0" fillId="9" borderId="0" xfId="0" applyNumberFormat="1" applyFill="1" applyAlignment="1">
      <alignment horizontal="left"/>
    </xf>
    <xf numFmtId="3" fontId="0" fillId="9" borderId="0" xfId="0" applyNumberForma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3" fontId="5" fillId="8" borderId="0" xfId="0" applyNumberFormat="1" applyFont="1" applyFill="1" applyAlignment="1">
      <alignment horizontal="left"/>
    </xf>
    <xf numFmtId="3" fontId="0" fillId="6" borderId="3" xfId="0" applyNumberFormat="1" applyFill="1" applyBorder="1" applyAlignment="1">
      <alignment horizontal="center"/>
    </xf>
    <xf numFmtId="0" fontId="0" fillId="6" borderId="2" xfId="0" applyFill="1" applyBorder="1"/>
    <xf numFmtId="0" fontId="0" fillId="6" borderId="2" xfId="0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3" fontId="2" fillId="6" borderId="2" xfId="0" applyNumberFormat="1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3" fontId="3" fillId="6" borderId="2" xfId="0" applyNumberFormat="1" applyFont="1" applyFill="1" applyBorder="1" applyAlignment="1">
      <alignment horizontal="center"/>
    </xf>
    <xf numFmtId="1" fontId="3" fillId="6" borderId="2" xfId="0" applyNumberFormat="1" applyFont="1" applyFill="1" applyBorder="1" applyAlignment="1">
      <alignment horizontal="center"/>
    </xf>
    <xf numFmtId="9" fontId="3" fillId="6" borderId="2" xfId="1" applyFont="1" applyFill="1" applyBorder="1" applyAlignment="1">
      <alignment horizontal="center"/>
    </xf>
    <xf numFmtId="0" fontId="5" fillId="6" borderId="0" xfId="0" applyFont="1" applyFill="1"/>
    <xf numFmtId="0" fontId="0" fillId="6" borderId="0" xfId="0" applyFill="1" applyAlignment="1">
      <alignment horizontal="right"/>
    </xf>
    <xf numFmtId="9" fontId="0" fillId="6" borderId="0" xfId="1" applyFont="1" applyFill="1" applyAlignment="1">
      <alignment horizontal="center"/>
    </xf>
    <xf numFmtId="9" fontId="3" fillId="6" borderId="0" xfId="1" applyFont="1" applyFill="1" applyAlignment="1">
      <alignment horizontal="center"/>
    </xf>
    <xf numFmtId="0" fontId="0" fillId="6" borderId="0" xfId="0" applyFill="1" applyAlignment="1">
      <alignment horizontal="left"/>
    </xf>
    <xf numFmtId="164" fontId="3" fillId="6" borderId="0" xfId="0" applyNumberFormat="1" applyFont="1" applyFill="1" applyAlignment="1">
      <alignment horizontal="center"/>
    </xf>
    <xf numFmtId="0" fontId="9" fillId="8" borderId="0" xfId="0" applyFont="1" applyFill="1"/>
    <xf numFmtId="0" fontId="9" fillId="5" borderId="0" xfId="0" applyFont="1" applyFill="1"/>
    <xf numFmtId="0" fontId="9" fillId="9" borderId="0" xfId="0" applyFont="1" applyFill="1"/>
    <xf numFmtId="0" fontId="9" fillId="7" borderId="0" xfId="0" applyFont="1" applyFill="1"/>
    <xf numFmtId="0" fontId="9" fillId="6" borderId="0" xfId="0" applyFont="1" applyFill="1"/>
    <xf numFmtId="0" fontId="0" fillId="10" borderId="3" xfId="0" applyFill="1" applyBorder="1"/>
    <xf numFmtId="0" fontId="9" fillId="10" borderId="0" xfId="0" applyFont="1" applyFill="1"/>
    <xf numFmtId="0" fontId="0" fillId="10" borderId="0" xfId="0" applyFill="1"/>
    <xf numFmtId="0" fontId="2" fillId="10" borderId="0" xfId="0" applyFont="1" applyFill="1"/>
    <xf numFmtId="0" fontId="0" fillId="10" borderId="2" xfId="0" applyFill="1" applyBorder="1"/>
    <xf numFmtId="0" fontId="0" fillId="10" borderId="2" xfId="0" applyFill="1" applyBorder="1" applyAlignment="1">
      <alignment horizontal="center"/>
    </xf>
    <xf numFmtId="3" fontId="0" fillId="10" borderId="2" xfId="0" applyNumberFormat="1" applyFill="1" applyBorder="1" applyAlignment="1">
      <alignment horizontal="center"/>
    </xf>
    <xf numFmtId="3" fontId="2" fillId="10" borderId="2" xfId="0" applyNumberFormat="1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3" fontId="3" fillId="10" borderId="2" xfId="0" applyNumberFormat="1" applyFont="1" applyFill="1" applyBorder="1" applyAlignment="1">
      <alignment horizontal="center"/>
    </xf>
    <xf numFmtId="1" fontId="3" fillId="10" borderId="2" xfId="0" applyNumberFormat="1" applyFont="1" applyFill="1" applyBorder="1" applyAlignment="1">
      <alignment horizontal="center"/>
    </xf>
    <xf numFmtId="9" fontId="3" fillId="10" borderId="2" xfId="1" applyFont="1" applyFill="1" applyBorder="1" applyAlignment="1">
      <alignment horizontal="center"/>
    </xf>
    <xf numFmtId="0" fontId="0" fillId="10" borderId="0" xfId="0" applyFill="1" applyAlignment="1">
      <alignment horizontal="right"/>
    </xf>
    <xf numFmtId="9" fontId="3" fillId="10" borderId="0" xfId="1" applyFont="1" applyFill="1" applyBorder="1" applyAlignment="1">
      <alignment horizontal="center"/>
    </xf>
    <xf numFmtId="9" fontId="3" fillId="10" borderId="2" xfId="0" applyNumberFormat="1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9" fontId="2" fillId="10" borderId="0" xfId="1" applyFont="1" applyFill="1" applyAlignment="1">
      <alignment horizontal="center"/>
    </xf>
    <xf numFmtId="164" fontId="3" fillId="10" borderId="0" xfId="0" applyNumberFormat="1" applyFont="1" applyFill="1" applyAlignment="1">
      <alignment horizontal="center"/>
    </xf>
    <xf numFmtId="9" fontId="2" fillId="10" borderId="0" xfId="0" applyNumberFormat="1" applyFont="1" applyFill="1" applyAlignment="1">
      <alignment horizontal="center"/>
    </xf>
    <xf numFmtId="3" fontId="3" fillId="10" borderId="0" xfId="0" applyNumberFormat="1" applyFont="1" applyFill="1" applyAlignment="1">
      <alignment horizontal="center"/>
    </xf>
    <xf numFmtId="0" fontId="5" fillId="10" borderId="0" xfId="0" applyFont="1" applyFill="1"/>
    <xf numFmtId="1" fontId="3" fillId="10" borderId="0" xfId="0" applyNumberFormat="1" applyFont="1" applyFill="1" applyAlignment="1">
      <alignment horizontal="center"/>
    </xf>
    <xf numFmtId="1" fontId="0" fillId="10" borderId="0" xfId="0" applyNumberFormat="1" applyFill="1" applyAlignment="1">
      <alignment horizontal="center"/>
    </xf>
    <xf numFmtId="3" fontId="0" fillId="10" borderId="0" xfId="0" applyNumberFormat="1" applyFill="1" applyAlignment="1">
      <alignment horizontal="center"/>
    </xf>
    <xf numFmtId="0" fontId="0" fillId="4" borderId="3" xfId="0" applyFill="1" applyBorder="1"/>
    <xf numFmtId="0" fontId="0" fillId="4" borderId="3" xfId="0" applyFill="1" applyBorder="1" applyAlignment="1">
      <alignment horizontal="right"/>
    </xf>
    <xf numFmtId="3" fontId="0" fillId="4" borderId="3" xfId="0" applyNumberFormat="1" applyFill="1" applyBorder="1" applyAlignment="1">
      <alignment horizontal="center"/>
    </xf>
    <xf numFmtId="0" fontId="9" fillId="4" borderId="0" xfId="0" applyFont="1" applyFill="1"/>
    <xf numFmtId="0" fontId="0" fillId="4" borderId="0" xfId="0" applyFill="1"/>
    <xf numFmtId="0" fontId="2" fillId="4" borderId="2" xfId="0" applyFont="1" applyFill="1" applyBorder="1"/>
    <xf numFmtId="0" fontId="0" fillId="4" borderId="2" xfId="0" applyFill="1" applyBorder="1"/>
    <xf numFmtId="0" fontId="2" fillId="4" borderId="0" xfId="0" applyFont="1" applyFill="1"/>
    <xf numFmtId="0" fontId="2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right"/>
    </xf>
    <xf numFmtId="0" fontId="3" fillId="4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" fontId="3" fillId="4" borderId="0" xfId="0" applyNumberFormat="1" applyFont="1" applyFill="1" applyAlignment="1">
      <alignment horizontal="center"/>
    </xf>
    <xf numFmtId="0" fontId="0" fillId="8" borderId="0" xfId="0" applyFill="1" applyAlignment="1">
      <alignment horizontal="right"/>
    </xf>
    <xf numFmtId="0" fontId="0" fillId="8" borderId="0" xfId="0" applyFill="1" applyAlignment="1">
      <alignment horizontal="center"/>
    </xf>
    <xf numFmtId="0" fontId="3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8" borderId="0" xfId="0" applyFill="1" applyAlignment="1">
      <alignment horizontal="left"/>
    </xf>
    <xf numFmtId="9" fontId="3" fillId="8" borderId="2" xfId="1" applyFont="1" applyFill="1" applyBorder="1" applyAlignment="1">
      <alignment horizontal="center"/>
    </xf>
    <xf numFmtId="164" fontId="3" fillId="8" borderId="2" xfId="0" applyNumberFormat="1" applyFont="1" applyFill="1" applyBorder="1" applyAlignment="1">
      <alignment horizontal="center"/>
    </xf>
    <xf numFmtId="9" fontId="2" fillId="8" borderId="0" xfId="1" applyFont="1" applyFill="1" applyAlignment="1">
      <alignment horizontal="center"/>
    </xf>
    <xf numFmtId="3" fontId="3" fillId="8" borderId="2" xfId="1" applyNumberFormat="1" applyFont="1" applyFill="1" applyBorder="1" applyAlignment="1">
      <alignment horizontal="center"/>
    </xf>
    <xf numFmtId="1" fontId="2" fillId="6" borderId="0" xfId="0" applyNumberFormat="1" applyFont="1" applyFill="1" applyAlignment="1">
      <alignment horizontal="center"/>
    </xf>
    <xf numFmtId="10" fontId="3" fillId="6" borderId="2" xfId="0" applyNumberFormat="1" applyFont="1" applyFill="1" applyBorder="1" applyAlignment="1">
      <alignment horizontal="center"/>
    </xf>
    <xf numFmtId="10" fontId="3" fillId="6" borderId="2" xfId="1" applyNumberFormat="1" applyFont="1" applyFill="1" applyBorder="1" applyAlignment="1">
      <alignment horizontal="center"/>
    </xf>
    <xf numFmtId="0" fontId="0" fillId="11" borderId="3" xfId="0" applyFill="1" applyBorder="1"/>
    <xf numFmtId="0" fontId="9" fillId="11" borderId="0" xfId="0" applyFont="1" applyFill="1"/>
    <xf numFmtId="0" fontId="0" fillId="11" borderId="0" xfId="0" applyFill="1"/>
    <xf numFmtId="0" fontId="2" fillId="11" borderId="0" xfId="0" applyFont="1" applyFill="1"/>
    <xf numFmtId="0" fontId="2" fillId="11" borderId="0" xfId="0" applyFont="1" applyFill="1" applyAlignment="1">
      <alignment horizontal="center"/>
    </xf>
    <xf numFmtId="9" fontId="3" fillId="11" borderId="0" xfId="1" applyFont="1" applyFill="1" applyAlignment="1">
      <alignment horizontal="center"/>
    </xf>
    <xf numFmtId="9" fontId="2" fillId="11" borderId="0" xfId="0" applyNumberFormat="1" applyFont="1" applyFill="1" applyAlignment="1">
      <alignment horizontal="center"/>
    </xf>
    <xf numFmtId="9" fontId="3" fillId="11" borderId="0" xfId="0" applyNumberFormat="1" applyFont="1" applyFill="1" applyAlignment="1">
      <alignment horizontal="center"/>
    </xf>
    <xf numFmtId="0" fontId="5" fillId="11" borderId="0" xfId="0" applyFont="1" applyFill="1"/>
    <xf numFmtId="3" fontId="0" fillId="11" borderId="0" xfId="0" applyNumberFormat="1" applyFill="1" applyAlignment="1">
      <alignment horizontal="center"/>
    </xf>
    <xf numFmtId="9" fontId="0" fillId="11" borderId="0" xfId="1" applyFont="1" applyFill="1" applyAlignment="1">
      <alignment horizontal="center"/>
    </xf>
    <xf numFmtId="3" fontId="3" fillId="11" borderId="0" xfId="0" applyNumberFormat="1" applyFont="1" applyFill="1" applyAlignment="1">
      <alignment horizontal="center"/>
    </xf>
    <xf numFmtId="0" fontId="0" fillId="11" borderId="2" xfId="0" applyFill="1" applyBorder="1"/>
    <xf numFmtId="0" fontId="0" fillId="11" borderId="2" xfId="0" applyFill="1" applyBorder="1" applyAlignment="1">
      <alignment horizontal="center"/>
    </xf>
    <xf numFmtId="3" fontId="0" fillId="11" borderId="2" xfId="0" applyNumberFormat="1" applyFill="1" applyBorder="1" applyAlignment="1">
      <alignment horizontal="center"/>
    </xf>
    <xf numFmtId="3" fontId="2" fillId="11" borderId="2" xfId="0" applyNumberFormat="1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3" fontId="3" fillId="11" borderId="2" xfId="0" applyNumberFormat="1" applyFont="1" applyFill="1" applyBorder="1" applyAlignment="1">
      <alignment horizontal="center"/>
    </xf>
    <xf numFmtId="1" fontId="3" fillId="11" borderId="2" xfId="0" applyNumberFormat="1" applyFont="1" applyFill="1" applyBorder="1" applyAlignment="1">
      <alignment horizontal="center"/>
    </xf>
    <xf numFmtId="1" fontId="3" fillId="11" borderId="7" xfId="0" applyNumberFormat="1" applyFont="1" applyFill="1" applyBorder="1" applyAlignment="1">
      <alignment horizontal="center"/>
    </xf>
    <xf numFmtId="9" fontId="3" fillId="11" borderId="2" xfId="1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9" fontId="3" fillId="11" borderId="0" xfId="1" applyFont="1" applyFill="1" applyBorder="1" applyAlignment="1">
      <alignment horizontal="center"/>
    </xf>
    <xf numFmtId="10" fontId="3" fillId="11" borderId="2" xfId="1" applyNumberFormat="1" applyFont="1" applyFill="1" applyBorder="1" applyAlignment="1">
      <alignment horizontal="center"/>
    </xf>
    <xf numFmtId="10" fontId="3" fillId="11" borderId="2" xfId="0" applyNumberFormat="1" applyFont="1" applyFill="1" applyBorder="1" applyAlignment="1">
      <alignment horizontal="center"/>
    </xf>
    <xf numFmtId="1" fontId="2" fillId="11" borderId="0" xfId="0" applyNumberFormat="1" applyFont="1" applyFill="1" applyAlignment="1">
      <alignment horizontal="center"/>
    </xf>
    <xf numFmtId="3" fontId="3" fillId="11" borderId="0" xfId="1" applyNumberFormat="1" applyFont="1" applyFill="1" applyAlignment="1">
      <alignment horizontal="center"/>
    </xf>
    <xf numFmtId="9" fontId="3" fillId="2" borderId="8" xfId="1" applyFont="1" applyFill="1" applyBorder="1" applyAlignment="1">
      <alignment horizontal="center"/>
    </xf>
    <xf numFmtId="0" fontId="0" fillId="8" borderId="2" xfId="0" applyFill="1" applyBorder="1" applyAlignment="1">
      <alignment horizontal="left"/>
    </xf>
    <xf numFmtId="0" fontId="0" fillId="8" borderId="4" xfId="0" applyFill="1" applyBorder="1" applyAlignment="1">
      <alignment horizontal="left"/>
    </xf>
    <xf numFmtId="0" fontId="0" fillId="8" borderId="5" xfId="0" applyFill="1" applyBorder="1" applyAlignment="1">
      <alignment horizontal="left"/>
    </xf>
    <xf numFmtId="0" fontId="0" fillId="8" borderId="6" xfId="0" applyFill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2" fillId="5" borderId="6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10" borderId="2" xfId="0" applyFill="1" applyBorder="1" applyAlignment="1">
      <alignment horizontal="center"/>
    </xf>
    <xf numFmtId="3" fontId="0" fillId="6" borderId="4" xfId="0" applyNumberFormat="1" applyFill="1" applyBorder="1" applyAlignment="1">
      <alignment horizontal="center"/>
    </xf>
    <xf numFmtId="3" fontId="0" fillId="6" borderId="5" xfId="0" applyNumberFormat="1" applyFill="1" applyBorder="1" applyAlignment="1">
      <alignment horizontal="center"/>
    </xf>
    <xf numFmtId="3" fontId="0" fillId="6" borderId="6" xfId="0" applyNumberFormat="1" applyFill="1" applyBorder="1" applyAlignment="1">
      <alignment horizontal="center"/>
    </xf>
    <xf numFmtId="3" fontId="0" fillId="10" borderId="4" xfId="0" applyNumberFormat="1" applyFill="1" applyBorder="1" applyAlignment="1">
      <alignment horizontal="center"/>
    </xf>
    <xf numFmtId="3" fontId="0" fillId="10" borderId="5" xfId="0" applyNumberFormat="1" applyFill="1" applyBorder="1" applyAlignment="1">
      <alignment horizontal="center"/>
    </xf>
    <xf numFmtId="3" fontId="0" fillId="10" borderId="6" xfId="0" applyNumberFormat="1" applyFill="1" applyBorder="1" applyAlignment="1">
      <alignment horizontal="center"/>
    </xf>
    <xf numFmtId="0" fontId="7" fillId="4" borderId="2" xfId="0" applyFont="1" applyFill="1" applyBorder="1" applyAlignment="1">
      <alignment horizontal="left"/>
    </xf>
    <xf numFmtId="0" fontId="0" fillId="10" borderId="0" xfId="0" applyFill="1" applyAlignment="1">
      <alignment horizontal="right"/>
    </xf>
    <xf numFmtId="0" fontId="0" fillId="6" borderId="0" xfId="0" applyFill="1" applyAlignment="1">
      <alignment horizontal="right"/>
    </xf>
    <xf numFmtId="3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left"/>
    </xf>
    <xf numFmtId="3" fontId="0" fillId="11" borderId="4" xfId="0" applyNumberFormat="1" applyFill="1" applyBorder="1" applyAlignment="1">
      <alignment horizontal="center"/>
    </xf>
    <xf numFmtId="3" fontId="0" fillId="11" borderId="5" xfId="0" applyNumberFormat="1" applyFill="1" applyBorder="1" applyAlignment="1">
      <alignment horizontal="center"/>
    </xf>
    <xf numFmtId="3" fontId="0" fillId="11" borderId="6" xfId="0" applyNumberFormat="1" applyFill="1" applyBorder="1" applyAlignment="1">
      <alignment horizontal="center"/>
    </xf>
    <xf numFmtId="0" fontId="0" fillId="11" borderId="0" xfId="0" applyFill="1" applyAlignment="1">
      <alignment horizontal="right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43FFB-D34B-41B0-B2AD-BC946F6FF5B9}">
  <dimension ref="A1:I332"/>
  <sheetViews>
    <sheetView tabSelected="1" topLeftCell="A303" zoomScale="85" zoomScaleNormal="85" workbookViewId="0">
      <selection activeCell="D297" sqref="D297"/>
    </sheetView>
  </sheetViews>
  <sheetFormatPr defaultRowHeight="14.4" x14ac:dyDescent="0.3"/>
  <cols>
    <col min="1" max="1" width="30.109375" style="3" customWidth="1"/>
    <col min="2" max="2" width="16.5546875" style="3" customWidth="1"/>
    <col min="3" max="3" width="17.21875" style="3" customWidth="1"/>
    <col min="4" max="4" width="21.21875" style="3" customWidth="1"/>
    <col min="5" max="5" width="32.5546875" style="3" customWidth="1"/>
    <col min="6" max="6" width="33.77734375" style="3" customWidth="1"/>
    <col min="7" max="7" width="32.5546875" style="3" customWidth="1"/>
    <col min="8" max="8" width="38.77734375" style="3" customWidth="1"/>
    <col min="9" max="16384" width="8.88671875" style="3"/>
  </cols>
  <sheetData>
    <row r="1" spans="1:9" ht="15" x14ac:dyDescent="0.3">
      <c r="A1" s="183" t="s">
        <v>102</v>
      </c>
      <c r="B1" s="183"/>
      <c r="C1" s="183"/>
      <c r="D1" s="183"/>
      <c r="E1" s="183"/>
    </row>
    <row r="2" spans="1:9" x14ac:dyDescent="0.3">
      <c r="A2" s="173" t="s">
        <v>189</v>
      </c>
      <c r="B2" s="173"/>
      <c r="C2" s="173"/>
      <c r="D2" s="173"/>
      <c r="E2" s="173"/>
    </row>
    <row r="3" spans="1:9" x14ac:dyDescent="0.3">
      <c r="A3" s="174" t="s">
        <v>101</v>
      </c>
      <c r="B3" s="174"/>
      <c r="C3" s="174"/>
      <c r="D3" s="174"/>
      <c r="E3" s="174"/>
    </row>
    <row r="4" spans="1:9" x14ac:dyDescent="0.3">
      <c r="A4" s="175" t="s">
        <v>105</v>
      </c>
      <c r="B4" s="175"/>
      <c r="C4" s="175"/>
      <c r="D4" s="175"/>
      <c r="E4" s="175"/>
    </row>
    <row r="7" spans="1:9" s="16" customFormat="1" x14ac:dyDescent="0.3">
      <c r="A7" s="15"/>
    </row>
    <row r="8" spans="1:9" s="7" customFormat="1" ht="21" x14ac:dyDescent="0.4">
      <c r="A8" s="86" t="s">
        <v>141</v>
      </c>
    </row>
    <row r="9" spans="1:9" s="7" customFormat="1" x14ac:dyDescent="0.3"/>
    <row r="10" spans="1:9" s="7" customFormat="1" x14ac:dyDescent="0.3">
      <c r="A10" s="8" t="s">
        <v>7</v>
      </c>
      <c r="B10" s="9">
        <v>800</v>
      </c>
      <c r="G10" s="6" t="s">
        <v>32</v>
      </c>
      <c r="I10" s="6"/>
    </row>
    <row r="11" spans="1:9" s="7" customFormat="1" x14ac:dyDescent="0.3">
      <c r="A11" s="8" t="s">
        <v>33</v>
      </c>
      <c r="B11" s="9">
        <v>4000</v>
      </c>
      <c r="G11" s="7" t="s">
        <v>8</v>
      </c>
    </row>
    <row r="12" spans="1:9" s="7" customFormat="1" x14ac:dyDescent="0.3">
      <c r="A12" s="8" t="s">
        <v>34</v>
      </c>
      <c r="B12" s="9">
        <v>2950</v>
      </c>
    </row>
    <row r="13" spans="1:9" s="7" customFormat="1" x14ac:dyDescent="0.3">
      <c r="A13" s="8" t="s">
        <v>35</v>
      </c>
      <c r="B13" s="10">
        <f>B11-B12</f>
        <v>1050</v>
      </c>
      <c r="G13" s="6" t="s">
        <v>5</v>
      </c>
    </row>
    <row r="14" spans="1:9" s="7" customFormat="1" x14ac:dyDescent="0.3">
      <c r="B14" s="11"/>
      <c r="G14" s="7" t="s">
        <v>6</v>
      </c>
    </row>
    <row r="15" spans="1:9" s="7" customFormat="1" x14ac:dyDescent="0.3">
      <c r="A15" s="171" t="s">
        <v>3</v>
      </c>
      <c r="B15" s="172"/>
    </row>
    <row r="16" spans="1:9" s="7" customFormat="1" x14ac:dyDescent="0.3">
      <c r="A16" s="8" t="s">
        <v>103</v>
      </c>
      <c r="B16" s="5">
        <f>(B13-B10)/B10</f>
        <v>0.3125</v>
      </c>
      <c r="C16" s="13" t="s">
        <v>38</v>
      </c>
    </row>
    <row r="17" spans="1:7" s="7" customFormat="1" x14ac:dyDescent="0.3">
      <c r="A17" s="8" t="s">
        <v>104</v>
      </c>
      <c r="B17" s="12">
        <f>B13/B11</f>
        <v>0.26250000000000001</v>
      </c>
      <c r="C17" s="13" t="s">
        <v>39</v>
      </c>
    </row>
    <row r="18" spans="1:7" s="7" customFormat="1" x14ac:dyDescent="0.3">
      <c r="A18" s="8" t="s">
        <v>4</v>
      </c>
      <c r="B18" s="14">
        <f>B10/B13*12</f>
        <v>9.1428571428571423</v>
      </c>
      <c r="C18" s="7" t="s">
        <v>31</v>
      </c>
    </row>
    <row r="19" spans="1:7" s="7" customFormat="1" x14ac:dyDescent="0.3"/>
    <row r="20" spans="1:7" s="7" customFormat="1" x14ac:dyDescent="0.3"/>
    <row r="21" spans="1:7" s="58" customFormat="1" x14ac:dyDescent="0.3"/>
    <row r="22" spans="1:7" s="60" customFormat="1" ht="21" x14ac:dyDescent="0.4">
      <c r="A22" s="87" t="s">
        <v>142</v>
      </c>
    </row>
    <row r="23" spans="1:7" s="60" customFormat="1" x14ac:dyDescent="0.3"/>
    <row r="24" spans="1:7" s="60" customFormat="1" x14ac:dyDescent="0.3">
      <c r="A24" s="59" t="s">
        <v>106</v>
      </c>
      <c r="B24" s="61"/>
    </row>
    <row r="25" spans="1:7" s="60" customFormat="1" x14ac:dyDescent="0.3">
      <c r="A25" s="60" t="s">
        <v>7</v>
      </c>
      <c r="B25" s="62">
        <v>800</v>
      </c>
      <c r="G25" s="59" t="s">
        <v>20</v>
      </c>
    </row>
    <row r="26" spans="1:7" s="60" customFormat="1" x14ac:dyDescent="0.3">
      <c r="A26" s="60" t="s">
        <v>36</v>
      </c>
      <c r="B26" s="63">
        <v>0.1</v>
      </c>
      <c r="G26" s="60" t="s">
        <v>21</v>
      </c>
    </row>
    <row r="27" spans="1:7" s="60" customFormat="1" x14ac:dyDescent="0.3">
      <c r="A27" s="60" t="s">
        <v>9</v>
      </c>
      <c r="B27" s="64">
        <f>B25*(1+B26*1)</f>
        <v>880.00000000000011</v>
      </c>
      <c r="C27" s="60" t="s">
        <v>37</v>
      </c>
    </row>
    <row r="28" spans="1:7" s="60" customFormat="1" x14ac:dyDescent="0.3">
      <c r="A28" s="60" t="s">
        <v>22</v>
      </c>
      <c r="B28" s="64">
        <f>B27-B25</f>
        <v>80.000000000000114</v>
      </c>
      <c r="C28" s="60" t="s">
        <v>37</v>
      </c>
    </row>
    <row r="29" spans="1:7" s="60" customFormat="1" x14ac:dyDescent="0.3">
      <c r="A29" s="60" t="s">
        <v>11</v>
      </c>
      <c r="B29" s="65">
        <f>B13-B10</f>
        <v>250</v>
      </c>
      <c r="C29" s="60" t="s">
        <v>37</v>
      </c>
    </row>
    <row r="30" spans="1:7" s="60" customFormat="1" x14ac:dyDescent="0.3">
      <c r="A30" s="60" t="s">
        <v>12</v>
      </c>
      <c r="B30" s="65">
        <f>B29-B28</f>
        <v>169.99999999999989</v>
      </c>
      <c r="C30" s="60" t="s">
        <v>37</v>
      </c>
    </row>
    <row r="31" spans="1:7" s="60" customFormat="1" x14ac:dyDescent="0.3">
      <c r="A31" s="60" t="s">
        <v>10</v>
      </c>
      <c r="B31" s="66" t="s">
        <v>219</v>
      </c>
    </row>
    <row r="32" spans="1:7" s="60" customFormat="1" x14ac:dyDescent="0.3">
      <c r="B32" s="67"/>
    </row>
    <row r="33" spans="1:7" s="60" customFormat="1" x14ac:dyDescent="0.3">
      <c r="B33" s="67"/>
    </row>
    <row r="34" spans="1:7" s="38" customFormat="1" x14ac:dyDescent="0.3">
      <c r="B34" s="39"/>
    </row>
    <row r="35" spans="1:7" s="22" customFormat="1" ht="21" x14ac:dyDescent="0.4">
      <c r="A35" s="88" t="s">
        <v>143</v>
      </c>
      <c r="B35" s="23"/>
    </row>
    <row r="36" spans="1:7" s="22" customFormat="1" x14ac:dyDescent="0.3">
      <c r="B36" s="23"/>
    </row>
    <row r="37" spans="1:7" s="22" customFormat="1" x14ac:dyDescent="0.3">
      <c r="A37" s="24" t="s">
        <v>59</v>
      </c>
      <c r="B37" s="23"/>
    </row>
    <row r="38" spans="1:7" s="22" customFormat="1" x14ac:dyDescent="0.3">
      <c r="A38" s="24" t="s">
        <v>107</v>
      </c>
      <c r="B38" s="23"/>
      <c r="G38" s="24" t="s">
        <v>19</v>
      </c>
    </row>
    <row r="39" spans="1:7" s="22" customFormat="1" x14ac:dyDescent="0.3">
      <c r="B39" s="23"/>
      <c r="G39" s="22" t="s">
        <v>25</v>
      </c>
    </row>
    <row r="40" spans="1:7" s="22" customFormat="1" x14ac:dyDescent="0.3">
      <c r="A40" s="22" t="s">
        <v>7</v>
      </c>
      <c r="B40" s="25">
        <v>800</v>
      </c>
      <c r="G40" s="37" t="s">
        <v>118</v>
      </c>
    </row>
    <row r="41" spans="1:7" s="22" customFormat="1" x14ac:dyDescent="0.3">
      <c r="B41" s="23"/>
    </row>
    <row r="42" spans="1:7" s="22" customFormat="1" x14ac:dyDescent="0.3">
      <c r="A42" s="26"/>
      <c r="B42" s="27" t="s">
        <v>0</v>
      </c>
      <c r="C42" s="26" t="s">
        <v>1</v>
      </c>
      <c r="D42" s="28" t="s">
        <v>116</v>
      </c>
      <c r="E42" s="28" t="s">
        <v>117</v>
      </c>
    </row>
    <row r="43" spans="1:7" s="22" customFormat="1" x14ac:dyDescent="0.3">
      <c r="A43" s="26" t="s">
        <v>13</v>
      </c>
      <c r="B43" s="29">
        <v>1000</v>
      </c>
      <c r="C43" s="30">
        <v>650</v>
      </c>
      <c r="D43" s="31">
        <f>B43-C43</f>
        <v>350</v>
      </c>
      <c r="E43" s="32">
        <f>D43*(1+$B$26)^3</f>
        <v>465.85000000000014</v>
      </c>
      <c r="F43" s="37" t="s">
        <v>112</v>
      </c>
    </row>
    <row r="44" spans="1:7" s="22" customFormat="1" x14ac:dyDescent="0.3">
      <c r="A44" s="26" t="s">
        <v>14</v>
      </c>
      <c r="B44" s="29">
        <v>1000</v>
      </c>
      <c r="C44" s="30">
        <v>650</v>
      </c>
      <c r="D44" s="31">
        <f t="shared" ref="D44:D46" si="0">B44-C44</f>
        <v>350</v>
      </c>
      <c r="E44" s="32">
        <f>D44*(1+$B$26)^2</f>
        <v>423.50000000000006</v>
      </c>
      <c r="F44" s="37" t="s">
        <v>113</v>
      </c>
    </row>
    <row r="45" spans="1:7" s="22" customFormat="1" x14ac:dyDescent="0.3">
      <c r="A45" s="26" t="s">
        <v>15</v>
      </c>
      <c r="B45" s="29">
        <v>1000</v>
      </c>
      <c r="C45" s="30">
        <v>800</v>
      </c>
      <c r="D45" s="31">
        <f t="shared" si="0"/>
        <v>200</v>
      </c>
      <c r="E45" s="32">
        <f>D45*(1+$B$26)</f>
        <v>220.00000000000003</v>
      </c>
      <c r="F45" s="37" t="s">
        <v>114</v>
      </c>
    </row>
    <row r="46" spans="1:7" s="22" customFormat="1" x14ac:dyDescent="0.3">
      <c r="A46" s="26" t="s">
        <v>16</v>
      </c>
      <c r="B46" s="29">
        <v>1000</v>
      </c>
      <c r="C46" s="30">
        <v>850</v>
      </c>
      <c r="D46" s="31">
        <f t="shared" si="0"/>
        <v>150</v>
      </c>
      <c r="E46" s="32">
        <f>D46</f>
        <v>150</v>
      </c>
      <c r="F46" s="37" t="s">
        <v>115</v>
      </c>
    </row>
    <row r="47" spans="1:7" s="22" customFormat="1" x14ac:dyDescent="0.3">
      <c r="A47" s="26" t="s">
        <v>17</v>
      </c>
      <c r="B47" s="31">
        <f t="shared" ref="B47:C47" si="1">SUM(B43:B46)</f>
        <v>4000</v>
      </c>
      <c r="C47" s="31">
        <f t="shared" si="1"/>
        <v>2950</v>
      </c>
      <c r="D47" s="31">
        <f>SUM(D43:D46)</f>
        <v>1050</v>
      </c>
      <c r="E47" s="32">
        <f>SUM(E43:E46)</f>
        <v>1259.3500000000001</v>
      </c>
    </row>
    <row r="48" spans="1:7" s="22" customFormat="1" x14ac:dyDescent="0.3">
      <c r="B48" s="23"/>
    </row>
    <row r="49" spans="1:8" s="22" customFormat="1" x14ac:dyDescent="0.3">
      <c r="A49" s="22" t="s">
        <v>108</v>
      </c>
      <c r="B49" s="23"/>
    </row>
    <row r="50" spans="1:8" s="22" customFormat="1" x14ac:dyDescent="0.3">
      <c r="A50" s="22" t="s">
        <v>18</v>
      </c>
      <c r="B50" s="33">
        <f>B40*(1+B26)^4-B40</f>
        <v>371.28000000000043</v>
      </c>
      <c r="C50" s="37" t="s">
        <v>109</v>
      </c>
    </row>
    <row r="51" spans="1:8" s="22" customFormat="1" x14ac:dyDescent="0.3">
      <c r="A51" s="22" t="s">
        <v>11</v>
      </c>
      <c r="B51" s="34">
        <f>E47-B40</f>
        <v>459.35000000000014</v>
      </c>
      <c r="C51" s="37" t="s">
        <v>110</v>
      </c>
    </row>
    <row r="52" spans="1:8" s="22" customFormat="1" x14ac:dyDescent="0.3">
      <c r="A52" s="22" t="s">
        <v>12</v>
      </c>
      <c r="B52" s="33">
        <f>B51-B50</f>
        <v>88.069999999999709</v>
      </c>
      <c r="C52" s="37" t="s">
        <v>111</v>
      </c>
    </row>
    <row r="53" spans="1:8" s="22" customFormat="1" x14ac:dyDescent="0.3">
      <c r="B53" s="23"/>
    </row>
    <row r="54" spans="1:8" s="22" customFormat="1" x14ac:dyDescent="0.3">
      <c r="A54" s="35"/>
      <c r="B54" s="36"/>
      <c r="C54" s="35"/>
      <c r="D54" s="35"/>
      <c r="E54" s="35"/>
    </row>
    <row r="55" spans="1:8" s="43" customFormat="1" x14ac:dyDescent="0.3">
      <c r="A55" s="41"/>
      <c r="B55" s="42"/>
      <c r="F55" s="44"/>
      <c r="G55" s="44"/>
      <c r="H55" s="44"/>
    </row>
    <row r="56" spans="1:8" s="43" customFormat="1" ht="21" x14ac:dyDescent="0.4">
      <c r="A56" s="85" t="s">
        <v>140</v>
      </c>
      <c r="B56" s="42"/>
    </row>
    <row r="57" spans="1:8" s="43" customFormat="1" x14ac:dyDescent="0.3">
      <c r="A57" s="41"/>
      <c r="B57" s="42"/>
    </row>
    <row r="58" spans="1:8" s="43" customFormat="1" x14ac:dyDescent="0.3">
      <c r="A58" s="41" t="s">
        <v>120</v>
      </c>
      <c r="B58" s="42"/>
    </row>
    <row r="59" spans="1:8" s="43" customFormat="1" x14ac:dyDescent="0.3">
      <c r="A59" s="43" t="s">
        <v>129</v>
      </c>
      <c r="B59" s="42"/>
    </row>
    <row r="60" spans="1:8" s="43" customFormat="1" x14ac:dyDescent="0.3">
      <c r="A60" s="43" t="s">
        <v>128</v>
      </c>
      <c r="B60" s="42"/>
    </row>
    <row r="61" spans="1:8" s="43" customFormat="1" x14ac:dyDescent="0.3">
      <c r="A61" s="43" t="s">
        <v>119</v>
      </c>
      <c r="B61" s="42"/>
    </row>
    <row r="62" spans="1:8" s="43" customFormat="1" x14ac:dyDescent="0.3">
      <c r="A62" s="41"/>
      <c r="B62" s="42"/>
    </row>
    <row r="63" spans="1:8" s="43" customFormat="1" x14ac:dyDescent="0.3">
      <c r="B63" s="42"/>
      <c r="D63" s="41" t="s">
        <v>23</v>
      </c>
      <c r="G63" s="41" t="s">
        <v>130</v>
      </c>
    </row>
    <row r="64" spans="1:8" s="43" customFormat="1" x14ac:dyDescent="0.3">
      <c r="D64" s="43" t="s">
        <v>24</v>
      </c>
      <c r="G64" s="43" t="s">
        <v>131</v>
      </c>
    </row>
    <row r="65" spans="1:7" s="43" customFormat="1" x14ac:dyDescent="0.3">
      <c r="A65" s="43" t="s">
        <v>133</v>
      </c>
      <c r="B65" s="45">
        <v>800</v>
      </c>
      <c r="D65" s="56" t="s">
        <v>121</v>
      </c>
      <c r="G65" s="56" t="s">
        <v>132</v>
      </c>
    </row>
    <row r="66" spans="1:7" s="43" customFormat="1" x14ac:dyDescent="0.3">
      <c r="B66" s="42"/>
      <c r="G66" s="56"/>
    </row>
    <row r="67" spans="1:7" s="43" customFormat="1" x14ac:dyDescent="0.3">
      <c r="A67" s="46"/>
      <c r="B67" s="47" t="s">
        <v>0</v>
      </c>
      <c r="C67" s="46" t="s">
        <v>1</v>
      </c>
      <c r="D67" s="48" t="s">
        <v>116</v>
      </c>
      <c r="E67" s="48" t="s">
        <v>122</v>
      </c>
      <c r="F67" s="48" t="s">
        <v>28</v>
      </c>
    </row>
    <row r="68" spans="1:7" s="43" customFormat="1" x14ac:dyDescent="0.3">
      <c r="A68" s="46" t="s">
        <v>13</v>
      </c>
      <c r="B68" s="49">
        <v>1000</v>
      </c>
      <c r="C68" s="50">
        <v>650</v>
      </c>
      <c r="D68" s="51">
        <f>B68-C68</f>
        <v>350</v>
      </c>
      <c r="E68" s="52">
        <f>D68/(1+$B$26)^1</f>
        <v>318.18181818181813</v>
      </c>
      <c r="F68" s="52">
        <f>-B65+E68</f>
        <v>-481.81818181818187</v>
      </c>
      <c r="G68" s="56" t="s">
        <v>123</v>
      </c>
    </row>
    <row r="69" spans="1:7" s="43" customFormat="1" x14ac:dyDescent="0.3">
      <c r="A69" s="46" t="s">
        <v>14</v>
      </c>
      <c r="B69" s="49">
        <v>1000</v>
      </c>
      <c r="C69" s="50">
        <v>650</v>
      </c>
      <c r="D69" s="51">
        <f t="shared" ref="D69:D71" si="2">B69-C69</f>
        <v>350</v>
      </c>
      <c r="E69" s="52">
        <f>D69/(1+$B$26)^2</f>
        <v>289.25619834710739</v>
      </c>
      <c r="F69" s="52">
        <f>F68+E69</f>
        <v>-192.56198347107448</v>
      </c>
      <c r="G69" s="56" t="s">
        <v>124</v>
      </c>
    </row>
    <row r="70" spans="1:7" s="43" customFormat="1" x14ac:dyDescent="0.3">
      <c r="A70" s="46" t="s">
        <v>15</v>
      </c>
      <c r="B70" s="49">
        <v>1000</v>
      </c>
      <c r="C70" s="50">
        <v>800</v>
      </c>
      <c r="D70" s="51">
        <f t="shared" si="2"/>
        <v>200</v>
      </c>
      <c r="E70" s="52">
        <f>D70/(1+$B$26)^3</f>
        <v>150.2629601803155</v>
      </c>
      <c r="F70" s="52">
        <f>F69+E70</f>
        <v>-42.299023290758981</v>
      </c>
      <c r="G70" s="56" t="s">
        <v>125</v>
      </c>
    </row>
    <row r="71" spans="1:7" s="43" customFormat="1" x14ac:dyDescent="0.3">
      <c r="A71" s="46" t="s">
        <v>16</v>
      </c>
      <c r="B71" s="49">
        <v>1000</v>
      </c>
      <c r="C71" s="50">
        <v>850</v>
      </c>
      <c r="D71" s="51">
        <f t="shared" si="2"/>
        <v>150</v>
      </c>
      <c r="E71" s="52">
        <f>D71/(1+$B$26)^4</f>
        <v>102.45201830476057</v>
      </c>
      <c r="F71" s="52">
        <f>F70+E71</f>
        <v>60.15299501400159</v>
      </c>
      <c r="G71" s="56" t="s">
        <v>126</v>
      </c>
    </row>
    <row r="72" spans="1:7" s="43" customFormat="1" x14ac:dyDescent="0.3">
      <c r="A72" s="46" t="s">
        <v>17</v>
      </c>
      <c r="B72" s="51">
        <f t="shared" ref="B72:C72" si="3">SUM(B68:B71)</f>
        <v>4000</v>
      </c>
      <c r="C72" s="51">
        <f t="shared" si="3"/>
        <v>2950</v>
      </c>
      <c r="D72" s="51">
        <f>SUM(D68:D71)</f>
        <v>1050</v>
      </c>
      <c r="E72" s="52">
        <f>SUM(E68:E71)</f>
        <v>860.1529950140017</v>
      </c>
      <c r="F72" s="53" t="s">
        <v>29</v>
      </c>
    </row>
    <row r="73" spans="1:7" s="43" customFormat="1" x14ac:dyDescent="0.3">
      <c r="B73" s="42"/>
      <c r="F73" s="56" t="s">
        <v>127</v>
      </c>
    </row>
    <row r="74" spans="1:7" s="43" customFormat="1" x14ac:dyDescent="0.3">
      <c r="B74" s="42"/>
      <c r="F74" s="56"/>
    </row>
    <row r="75" spans="1:7" s="43" customFormat="1" x14ac:dyDescent="0.3">
      <c r="A75" s="43" t="s">
        <v>26</v>
      </c>
      <c r="B75" s="68">
        <f>E72-B65</f>
        <v>60.152995014001704</v>
      </c>
      <c r="C75" s="56" t="s">
        <v>134</v>
      </c>
    </row>
    <row r="76" spans="1:7" s="43" customFormat="1" x14ac:dyDescent="0.3">
      <c r="A76" s="43" t="s">
        <v>27</v>
      </c>
      <c r="B76" s="55">
        <f>B75*(1+$B$26)^4</f>
        <v>88.069999999999922</v>
      </c>
      <c r="C76" s="56" t="s">
        <v>136</v>
      </c>
    </row>
    <row r="77" spans="1:7" s="43" customFormat="1" x14ac:dyDescent="0.3">
      <c r="B77" s="55"/>
      <c r="C77" s="56" t="s">
        <v>138</v>
      </c>
    </row>
    <row r="78" spans="1:7" s="43" customFormat="1" x14ac:dyDescent="0.3">
      <c r="B78" s="55"/>
      <c r="C78" s="56" t="s">
        <v>137</v>
      </c>
    </row>
    <row r="79" spans="1:7" s="43" customFormat="1" x14ac:dyDescent="0.3">
      <c r="B79" s="42"/>
    </row>
    <row r="80" spans="1:7" s="43" customFormat="1" x14ac:dyDescent="0.3">
      <c r="A80" s="43" t="s">
        <v>4</v>
      </c>
      <c r="B80" s="57" t="s">
        <v>30</v>
      </c>
      <c r="C80" s="54">
        <f>-1*F70/E71*12</f>
        <v>4.9544000000000192</v>
      </c>
      <c r="D80" s="43" t="s">
        <v>31</v>
      </c>
      <c r="E80" s="56" t="s">
        <v>139</v>
      </c>
    </row>
    <row r="81" spans="1:8" s="43" customFormat="1" x14ac:dyDescent="0.3">
      <c r="B81" s="69" t="s">
        <v>135</v>
      </c>
    </row>
    <row r="82" spans="1:8" s="43" customFormat="1" x14ac:dyDescent="0.3">
      <c r="B82" s="42"/>
    </row>
    <row r="83" spans="1:8" s="40" customFormat="1" x14ac:dyDescent="0.3">
      <c r="B83" s="70"/>
    </row>
    <row r="84" spans="1:8" s="17" customFormat="1" ht="21" x14ac:dyDescent="0.4">
      <c r="A84" s="89" t="s">
        <v>144</v>
      </c>
      <c r="B84" s="21"/>
    </row>
    <row r="85" spans="1:8" s="17" customFormat="1" x14ac:dyDescent="0.3">
      <c r="B85" s="21"/>
    </row>
    <row r="86" spans="1:8" s="17" customFormat="1" x14ac:dyDescent="0.3">
      <c r="A86" s="18" t="s">
        <v>62</v>
      </c>
      <c r="B86" s="21"/>
    </row>
    <row r="87" spans="1:8" s="17" customFormat="1" x14ac:dyDescent="0.3">
      <c r="A87" s="18"/>
      <c r="B87" s="21"/>
    </row>
    <row r="88" spans="1:8" s="17" customFormat="1" x14ac:dyDescent="0.3">
      <c r="A88" s="71"/>
      <c r="B88" s="177" t="s">
        <v>58</v>
      </c>
      <c r="C88" s="178"/>
      <c r="D88" s="179"/>
      <c r="E88" s="72" t="s">
        <v>49</v>
      </c>
      <c r="F88" s="72" t="s">
        <v>50</v>
      </c>
    </row>
    <row r="89" spans="1:8" s="17" customFormat="1" x14ac:dyDescent="0.3">
      <c r="A89" s="72"/>
      <c r="B89" s="73" t="s">
        <v>40</v>
      </c>
      <c r="C89" s="72" t="s">
        <v>41</v>
      </c>
      <c r="D89" s="72" t="s">
        <v>42</v>
      </c>
      <c r="E89" s="72" t="s">
        <v>47</v>
      </c>
      <c r="F89" s="72" t="s">
        <v>48</v>
      </c>
      <c r="G89" s="19"/>
      <c r="H89" s="19"/>
    </row>
    <row r="90" spans="1:8" s="17" customFormat="1" x14ac:dyDescent="0.3">
      <c r="A90" s="71" t="s">
        <v>0</v>
      </c>
      <c r="B90" s="74">
        <v>700</v>
      </c>
      <c r="C90" s="75">
        <v>750</v>
      </c>
      <c r="D90" s="75">
        <v>730</v>
      </c>
      <c r="E90" s="76">
        <f>AVERAGE(B90:D90)</f>
        <v>726.66666666666663</v>
      </c>
      <c r="F90" s="77">
        <f>E90*(1+C98)</f>
        <v>784.8</v>
      </c>
    </row>
    <row r="91" spans="1:8" s="17" customFormat="1" x14ac:dyDescent="0.3">
      <c r="A91" s="71" t="s">
        <v>43</v>
      </c>
      <c r="B91" s="74">
        <v>400</v>
      </c>
      <c r="C91" s="75">
        <v>450</v>
      </c>
      <c r="D91" s="75">
        <v>420</v>
      </c>
      <c r="E91" s="77">
        <f>E90*E107</f>
        <v>423.10676233963898</v>
      </c>
      <c r="F91" s="77">
        <f>F90*E107</f>
        <v>456.95530332681011</v>
      </c>
    </row>
    <row r="92" spans="1:8" s="17" customFormat="1" x14ac:dyDescent="0.3">
      <c r="A92" s="71" t="s">
        <v>2</v>
      </c>
      <c r="B92" s="76">
        <f>B90-B91</f>
        <v>300</v>
      </c>
      <c r="C92" s="76">
        <f t="shared" ref="C92:F92" si="4">C90-C91</f>
        <v>300</v>
      </c>
      <c r="D92" s="76">
        <f t="shared" si="4"/>
        <v>310</v>
      </c>
      <c r="E92" s="76">
        <f t="shared" si="4"/>
        <v>303.55990432702765</v>
      </c>
      <c r="F92" s="76">
        <f t="shared" si="4"/>
        <v>327.84469667318984</v>
      </c>
      <c r="G92" s="21"/>
    </row>
    <row r="93" spans="1:8" s="17" customFormat="1" x14ac:dyDescent="0.3">
      <c r="A93" s="71" t="s">
        <v>44</v>
      </c>
      <c r="B93" s="78">
        <f>B92/B91</f>
        <v>0.75</v>
      </c>
      <c r="C93" s="78">
        <f>C92/C91</f>
        <v>0.66666666666666663</v>
      </c>
      <c r="D93" s="78">
        <f>D92/D91</f>
        <v>0.73809523809523814</v>
      </c>
      <c r="E93" s="5">
        <f>E92/E91</f>
        <v>0.71745462693255679</v>
      </c>
      <c r="F93" s="5">
        <f>F92/F91</f>
        <v>0.71745462693255668</v>
      </c>
      <c r="G93" s="79" t="s">
        <v>60</v>
      </c>
    </row>
    <row r="94" spans="1:8" s="17" customFormat="1" x14ac:dyDescent="0.3">
      <c r="A94" s="71" t="s">
        <v>45</v>
      </c>
      <c r="B94" s="78">
        <f>B92/B90</f>
        <v>0.42857142857142855</v>
      </c>
      <c r="C94" s="78">
        <f>C92/C90</f>
        <v>0.4</v>
      </c>
      <c r="D94" s="78">
        <f>D92/D90</f>
        <v>0.42465753424657532</v>
      </c>
      <c r="E94" s="78">
        <f>E92/E90</f>
        <v>0.41774298760600137</v>
      </c>
      <c r="F94" s="78">
        <f>F92/F90</f>
        <v>0.41774298760600137</v>
      </c>
      <c r="G94" s="79" t="s">
        <v>61</v>
      </c>
    </row>
    <row r="95" spans="1:8" s="17" customFormat="1" x14ac:dyDescent="0.3"/>
    <row r="96" spans="1:8" s="17" customFormat="1" x14ac:dyDescent="0.3">
      <c r="A96" s="17" t="s">
        <v>46</v>
      </c>
    </row>
    <row r="97" spans="1:6" s="17" customFormat="1" x14ac:dyDescent="0.3">
      <c r="A97" s="185" t="s">
        <v>56</v>
      </c>
      <c r="B97" s="185"/>
      <c r="C97" s="136">
        <v>9</v>
      </c>
    </row>
    <row r="98" spans="1:6" s="17" customFormat="1" x14ac:dyDescent="0.3">
      <c r="A98" s="185" t="s">
        <v>53</v>
      </c>
      <c r="B98" s="185"/>
      <c r="C98" s="20">
        <v>0.08</v>
      </c>
    </row>
    <row r="99" spans="1:6" s="17" customFormat="1" x14ac:dyDescent="0.3"/>
    <row r="100" spans="1:6" s="17" customFormat="1" x14ac:dyDescent="0.3">
      <c r="A100" s="17" t="s">
        <v>145</v>
      </c>
    </row>
    <row r="101" spans="1:6" s="17" customFormat="1" x14ac:dyDescent="0.3">
      <c r="A101" s="17" t="s">
        <v>51</v>
      </c>
    </row>
    <row r="102" spans="1:6" s="17" customFormat="1" x14ac:dyDescent="0.3">
      <c r="A102" s="17" t="s">
        <v>52</v>
      </c>
    </row>
    <row r="103" spans="1:6" s="17" customFormat="1" x14ac:dyDescent="0.3"/>
    <row r="104" spans="1:6" s="17" customFormat="1" x14ac:dyDescent="0.3">
      <c r="A104" s="17" t="s">
        <v>146</v>
      </c>
    </row>
    <row r="105" spans="1:6" s="17" customFormat="1" x14ac:dyDescent="0.3"/>
    <row r="106" spans="1:6" s="17" customFormat="1" x14ac:dyDescent="0.3">
      <c r="A106" s="71"/>
      <c r="B106" s="72">
        <v>2023</v>
      </c>
      <c r="C106" s="72">
        <v>2024</v>
      </c>
      <c r="D106" s="72">
        <v>2025</v>
      </c>
      <c r="E106" s="72" t="s">
        <v>55</v>
      </c>
    </row>
    <row r="107" spans="1:6" s="17" customFormat="1" x14ac:dyDescent="0.3">
      <c r="A107" s="71" t="s">
        <v>54</v>
      </c>
      <c r="B107" s="138">
        <f>B91/B90</f>
        <v>0.5714285714285714</v>
      </c>
      <c r="C107" s="138">
        <f>C91/C90</f>
        <v>0.6</v>
      </c>
      <c r="D107" s="138">
        <f>D91/D90</f>
        <v>0.57534246575342463</v>
      </c>
      <c r="E107" s="137">
        <f>AVERAGE(B107:D107)</f>
        <v>0.58225701239399863</v>
      </c>
      <c r="F107" s="81"/>
    </row>
    <row r="108" spans="1:6" s="17" customFormat="1" x14ac:dyDescent="0.3"/>
    <row r="109" spans="1:6" s="17" customFormat="1" x14ac:dyDescent="0.3"/>
    <row r="110" spans="1:6" s="17" customFormat="1" x14ac:dyDescent="0.3">
      <c r="A110" s="17" t="s">
        <v>221</v>
      </c>
    </row>
    <row r="111" spans="1:6" s="17" customFormat="1" x14ac:dyDescent="0.3">
      <c r="A111" s="185" t="s">
        <v>80</v>
      </c>
      <c r="B111" s="185"/>
      <c r="C111" s="1">
        <f>F92-E92-C97</f>
        <v>15.284792346162192</v>
      </c>
      <c r="D111" s="79" t="s">
        <v>74</v>
      </c>
    </row>
    <row r="112" spans="1:6" s="17" customFormat="1" x14ac:dyDescent="0.3"/>
    <row r="113" spans="1:8" s="17" customFormat="1" x14ac:dyDescent="0.3">
      <c r="A113" s="17" t="s">
        <v>78</v>
      </c>
    </row>
    <row r="114" spans="1:8" s="17" customFormat="1" x14ac:dyDescent="0.3">
      <c r="A114" s="185" t="s">
        <v>79</v>
      </c>
      <c r="B114" s="185"/>
      <c r="C114" s="2">
        <f>(C111)/C97</f>
        <v>1.698310260684688</v>
      </c>
      <c r="D114" s="79" t="s">
        <v>74</v>
      </c>
    </row>
    <row r="115" spans="1:8" s="17" customFormat="1" x14ac:dyDescent="0.3">
      <c r="A115" s="80"/>
      <c r="B115" s="80"/>
      <c r="C115" s="82"/>
    </row>
    <row r="116" spans="1:8" s="17" customFormat="1" x14ac:dyDescent="0.3">
      <c r="A116" s="83" t="s">
        <v>73</v>
      </c>
      <c r="B116" s="80"/>
      <c r="C116" s="82"/>
    </row>
    <row r="117" spans="1:8" s="17" customFormat="1" x14ac:dyDescent="0.3">
      <c r="A117" s="185" t="s">
        <v>72</v>
      </c>
      <c r="B117" s="185"/>
      <c r="C117" s="84">
        <f>(C97/(F92-E92))*12</f>
        <v>4.447227650149852</v>
      </c>
      <c r="D117" s="17" t="s">
        <v>31</v>
      </c>
      <c r="E117" s="79" t="s">
        <v>220</v>
      </c>
    </row>
    <row r="118" spans="1:8" s="17" customFormat="1" x14ac:dyDescent="0.3">
      <c r="A118" s="80"/>
      <c r="B118" s="80"/>
      <c r="C118" s="84"/>
      <c r="E118" s="79" t="s">
        <v>248</v>
      </c>
    </row>
    <row r="119" spans="1:8" s="17" customFormat="1" x14ac:dyDescent="0.3"/>
    <row r="120" spans="1:8" s="90" customFormat="1" x14ac:dyDescent="0.3"/>
    <row r="121" spans="1:8" s="92" customFormat="1" ht="21" x14ac:dyDescent="0.4">
      <c r="A121" s="91" t="s">
        <v>147</v>
      </c>
    </row>
    <row r="122" spans="1:8" s="92" customFormat="1" x14ac:dyDescent="0.3"/>
    <row r="123" spans="1:8" s="92" customFormat="1" x14ac:dyDescent="0.3">
      <c r="A123" s="93" t="s">
        <v>63</v>
      </c>
    </row>
    <row r="124" spans="1:8" s="92" customFormat="1" x14ac:dyDescent="0.3"/>
    <row r="125" spans="1:8" s="92" customFormat="1" x14ac:dyDescent="0.3">
      <c r="A125" s="94"/>
      <c r="B125" s="180" t="s">
        <v>58</v>
      </c>
      <c r="C125" s="181"/>
      <c r="D125" s="182"/>
      <c r="E125" s="176" t="s">
        <v>49</v>
      </c>
      <c r="F125" s="176"/>
      <c r="G125" s="176"/>
      <c r="H125" s="176"/>
    </row>
    <row r="126" spans="1:8" s="92" customFormat="1" x14ac:dyDescent="0.3">
      <c r="A126" s="95"/>
      <c r="B126" s="96" t="s">
        <v>40</v>
      </c>
      <c r="C126" s="95" t="s">
        <v>41</v>
      </c>
      <c r="D126" s="95" t="s">
        <v>42</v>
      </c>
      <c r="E126" s="95" t="s">
        <v>47</v>
      </c>
      <c r="F126" s="95" t="s">
        <v>65</v>
      </c>
      <c r="G126" s="95" t="s">
        <v>66</v>
      </c>
      <c r="H126" s="95" t="s">
        <v>67</v>
      </c>
    </row>
    <row r="127" spans="1:8" s="92" customFormat="1" x14ac:dyDescent="0.3">
      <c r="A127" s="94" t="s">
        <v>0</v>
      </c>
      <c r="B127" s="97">
        <v>800</v>
      </c>
      <c r="C127" s="98">
        <v>850</v>
      </c>
      <c r="D127" s="98">
        <v>830</v>
      </c>
      <c r="E127" s="99">
        <f>AVERAGE(B127:D127)</f>
        <v>826.66666666666663</v>
      </c>
      <c r="F127" s="99">
        <f>AVERAGE(C127:E127)</f>
        <v>835.55555555555554</v>
      </c>
      <c r="G127" s="99">
        <f>AVERAGE(D127:F127)</f>
        <v>830.74074074074076</v>
      </c>
      <c r="H127" s="99">
        <f>AVERAGE(E127:G127)</f>
        <v>830.98765432098764</v>
      </c>
    </row>
    <row r="128" spans="1:8" s="92" customFormat="1" x14ac:dyDescent="0.3">
      <c r="A128" s="94" t="s">
        <v>43</v>
      </c>
      <c r="B128" s="97">
        <v>500</v>
      </c>
      <c r="C128" s="98">
        <v>550</v>
      </c>
      <c r="D128" s="98">
        <v>520</v>
      </c>
      <c r="E128" s="100">
        <f>E127*E145</f>
        <v>523.16009134577519</v>
      </c>
      <c r="F128" s="100">
        <f>F127*F145</f>
        <v>530.97321748869126</v>
      </c>
      <c r="G128" s="100">
        <f>G127*G145</f>
        <v>524.70533307278981</v>
      </c>
      <c r="H128" s="100">
        <f>H127*H145</f>
        <v>526.27545821684771</v>
      </c>
    </row>
    <row r="129" spans="1:8" s="92" customFormat="1" x14ac:dyDescent="0.3">
      <c r="A129" s="94" t="s">
        <v>2</v>
      </c>
      <c r="B129" s="99">
        <f>B127-B128</f>
        <v>300</v>
      </c>
      <c r="C129" s="99">
        <f t="shared" ref="C129" si="5">C127-C128</f>
        <v>300</v>
      </c>
      <c r="D129" s="99">
        <f t="shared" ref="D129" si="6">D127-D128</f>
        <v>310</v>
      </c>
      <c r="E129" s="99">
        <f t="shared" ref="E129" si="7">E127-E128</f>
        <v>303.50657532089144</v>
      </c>
      <c r="F129" s="99">
        <f t="shared" ref="F129" si="8">F127-F128</f>
        <v>304.58233806686428</v>
      </c>
      <c r="G129" s="99">
        <f t="shared" ref="G129" si="9">G127-G128</f>
        <v>306.03540766795095</v>
      </c>
      <c r="H129" s="99">
        <f t="shared" ref="H129" si="10">H127-H128</f>
        <v>304.71219610413993</v>
      </c>
    </row>
    <row r="130" spans="1:8" s="92" customFormat="1" x14ac:dyDescent="0.3">
      <c r="A130" s="94" t="s">
        <v>44</v>
      </c>
      <c r="B130" s="101">
        <f>B129/B128</f>
        <v>0.6</v>
      </c>
      <c r="C130" s="101">
        <f>C129/C128</f>
        <v>0.54545454545454541</v>
      </c>
      <c r="D130" s="101">
        <f>D129/D128</f>
        <v>0.59615384615384615</v>
      </c>
      <c r="E130" s="101">
        <f t="shared" ref="E130:H130" si="11">E129/E128</f>
        <v>0.58014091736269902</v>
      </c>
      <c r="F130" s="101">
        <f t="shared" si="11"/>
        <v>0.57363032265059832</v>
      </c>
      <c r="G130" s="101">
        <f t="shared" si="11"/>
        <v>0.58325194805194813</v>
      </c>
      <c r="H130" s="101">
        <f t="shared" si="11"/>
        <v>0.5789975408250666</v>
      </c>
    </row>
    <row r="131" spans="1:8" s="92" customFormat="1" x14ac:dyDescent="0.3">
      <c r="A131" s="94" t="s">
        <v>45</v>
      </c>
      <c r="B131" s="101">
        <f>B129/B127</f>
        <v>0.375</v>
      </c>
      <c r="C131" s="101">
        <f>C129/C127</f>
        <v>0.35294117647058826</v>
      </c>
      <c r="D131" s="101">
        <f>D129/D127</f>
        <v>0.37349397590361444</v>
      </c>
      <c r="E131" s="101">
        <f t="shared" ref="E131:H131" si="12">E129/E127</f>
        <v>0.36714505079140097</v>
      </c>
      <c r="F131" s="101">
        <f t="shared" si="12"/>
        <v>0.36452673438853439</v>
      </c>
      <c r="G131" s="101">
        <f t="shared" si="12"/>
        <v>0.36838858702784999</v>
      </c>
      <c r="H131" s="101">
        <f t="shared" si="12"/>
        <v>0.3666867907359283</v>
      </c>
    </row>
    <row r="132" spans="1:8" s="92" customFormat="1" x14ac:dyDescent="0.3"/>
    <row r="133" spans="1:8" s="92" customFormat="1" x14ac:dyDescent="0.3">
      <c r="E133" s="176" t="s">
        <v>50</v>
      </c>
      <c r="F133" s="176"/>
      <c r="G133" s="176"/>
      <c r="H133" s="176"/>
    </row>
    <row r="134" spans="1:8" s="92" customFormat="1" x14ac:dyDescent="0.3">
      <c r="E134" s="95" t="s">
        <v>48</v>
      </c>
      <c r="F134" s="95" t="s">
        <v>64</v>
      </c>
      <c r="G134" s="95" t="s">
        <v>68</v>
      </c>
      <c r="H134" s="95" t="s">
        <v>69</v>
      </c>
    </row>
    <row r="135" spans="1:8" s="92" customFormat="1" x14ac:dyDescent="0.3">
      <c r="D135" s="102"/>
      <c r="E135" s="99">
        <f>E127*(1+$C$149)</f>
        <v>901.06666666666672</v>
      </c>
      <c r="F135" s="99">
        <f>F127*(1+$C$149)</f>
        <v>910.75555555555559</v>
      </c>
      <c r="G135" s="99">
        <f>G127*(1+$C$149)</f>
        <v>905.50740740740753</v>
      </c>
      <c r="H135" s="99">
        <f>H127*(1+$C$149)</f>
        <v>905.77654320987665</v>
      </c>
    </row>
    <row r="136" spans="1:8" s="92" customFormat="1" x14ac:dyDescent="0.3">
      <c r="D136" s="102"/>
      <c r="E136" s="100">
        <f>E135*E145</f>
        <v>570.244499566895</v>
      </c>
      <c r="F136" s="100">
        <f>F135*F145</f>
        <v>578.76080706267339</v>
      </c>
      <c r="G136" s="100">
        <f t="shared" ref="G136:H136" si="13">G135*G145</f>
        <v>571.92881304934099</v>
      </c>
      <c r="H136" s="100">
        <f t="shared" si="13"/>
        <v>573.64024945636402</v>
      </c>
    </row>
    <row r="137" spans="1:8" s="92" customFormat="1" x14ac:dyDescent="0.3">
      <c r="D137" s="102"/>
      <c r="E137" s="99">
        <f>E135-E136</f>
        <v>330.82216709977172</v>
      </c>
      <c r="F137" s="99">
        <f t="shared" ref="F137:H137" si="14">F135-F136</f>
        <v>331.9947484928822</v>
      </c>
      <c r="G137" s="99">
        <f t="shared" si="14"/>
        <v>333.57859435806654</v>
      </c>
      <c r="H137" s="99">
        <f t="shared" si="14"/>
        <v>332.13629375351263</v>
      </c>
    </row>
    <row r="138" spans="1:8" s="92" customFormat="1" x14ac:dyDescent="0.3">
      <c r="D138" s="102"/>
      <c r="E138" s="101">
        <f>E137/E136</f>
        <v>0.58014091736269902</v>
      </c>
      <c r="F138" s="101">
        <f t="shared" ref="F138:H138" si="15">F137/F136</f>
        <v>0.57363032265059866</v>
      </c>
      <c r="G138" s="5">
        <f t="shared" si="15"/>
        <v>0.58325194805194802</v>
      </c>
      <c r="H138" s="5">
        <f t="shared" si="15"/>
        <v>0.57899754082506683</v>
      </c>
    </row>
    <row r="139" spans="1:8" s="92" customFormat="1" x14ac:dyDescent="0.3">
      <c r="D139" s="102"/>
      <c r="E139" s="101">
        <f>E137/E135</f>
        <v>0.36714505079140097</v>
      </c>
      <c r="F139" s="101">
        <f t="shared" ref="F139:H139" si="16">F137/F135</f>
        <v>0.3645267343885345</v>
      </c>
      <c r="G139" s="101">
        <f t="shared" si="16"/>
        <v>0.36838858702784993</v>
      </c>
      <c r="H139" s="101">
        <f t="shared" si="16"/>
        <v>0.36668679073592836</v>
      </c>
    </row>
    <row r="140" spans="1:8" s="92" customFormat="1" x14ac:dyDescent="0.3">
      <c r="E140" s="103"/>
      <c r="F140" s="103"/>
    </row>
    <row r="141" spans="1:8" s="92" customFormat="1" x14ac:dyDescent="0.3">
      <c r="A141" s="92" t="s">
        <v>148</v>
      </c>
      <c r="E141" s="103"/>
      <c r="F141" s="103"/>
    </row>
    <row r="142" spans="1:8" s="92" customFormat="1" x14ac:dyDescent="0.3">
      <c r="A142" s="92" t="s">
        <v>149</v>
      </c>
    </row>
    <row r="143" spans="1:8" s="92" customFormat="1" x14ac:dyDescent="0.3"/>
    <row r="144" spans="1:8" s="92" customFormat="1" x14ac:dyDescent="0.3">
      <c r="A144" s="94"/>
      <c r="B144" s="95">
        <v>2023</v>
      </c>
      <c r="C144" s="95">
        <v>2024</v>
      </c>
      <c r="D144" s="95">
        <v>2025</v>
      </c>
      <c r="E144" s="95" t="s">
        <v>55</v>
      </c>
      <c r="F144" s="95" t="s">
        <v>70</v>
      </c>
      <c r="G144" s="95" t="s">
        <v>70</v>
      </c>
      <c r="H144" s="95" t="s">
        <v>70</v>
      </c>
    </row>
    <row r="145" spans="1:8" s="92" customFormat="1" x14ac:dyDescent="0.3">
      <c r="A145" s="94" t="s">
        <v>54</v>
      </c>
      <c r="B145" s="101">
        <f>B128/B127</f>
        <v>0.625</v>
      </c>
      <c r="C145" s="101">
        <f>C128/C127</f>
        <v>0.6470588235294118</v>
      </c>
      <c r="D145" s="101">
        <f>D128/D127</f>
        <v>0.62650602409638556</v>
      </c>
      <c r="E145" s="104">
        <f>AVERAGE(B145:D145)</f>
        <v>0.63285494920859908</v>
      </c>
      <c r="F145" s="104">
        <f>AVERAGE(C145:E145)</f>
        <v>0.63547326561146555</v>
      </c>
      <c r="G145" s="104">
        <f>AVERAGE(D145:F145)</f>
        <v>0.63161141297215007</v>
      </c>
      <c r="H145" s="104">
        <f>AVERAGE(E145:G145)</f>
        <v>0.63331320926407164</v>
      </c>
    </row>
    <row r="146" spans="1:8" s="92" customFormat="1" x14ac:dyDescent="0.3"/>
    <row r="147" spans="1:8" s="92" customFormat="1" x14ac:dyDescent="0.3"/>
    <row r="148" spans="1:8" s="92" customFormat="1" x14ac:dyDescent="0.3">
      <c r="A148" s="184" t="s">
        <v>56</v>
      </c>
      <c r="B148" s="184"/>
      <c r="C148" s="105">
        <v>40</v>
      </c>
    </row>
    <row r="149" spans="1:8" s="92" customFormat="1" x14ac:dyDescent="0.3">
      <c r="A149" s="184" t="s">
        <v>53</v>
      </c>
      <c r="B149" s="184"/>
      <c r="C149" s="106">
        <v>0.09</v>
      </c>
      <c r="D149" s="92" t="s">
        <v>71</v>
      </c>
    </row>
    <row r="150" spans="1:8" s="92" customFormat="1" x14ac:dyDescent="0.3"/>
    <row r="151" spans="1:8" s="92" customFormat="1" x14ac:dyDescent="0.3">
      <c r="D151" s="188" t="s">
        <v>75</v>
      </c>
      <c r="E151" s="188"/>
      <c r="F151" s="188"/>
      <c r="G151" s="188"/>
      <c r="H151" s="188"/>
    </row>
    <row r="152" spans="1:8" s="92" customFormat="1" x14ac:dyDescent="0.3"/>
    <row r="153" spans="1:8" s="92" customFormat="1" x14ac:dyDescent="0.3">
      <c r="D153" s="94"/>
      <c r="E153" s="95">
        <v>2026</v>
      </c>
      <c r="F153" s="95">
        <v>2027</v>
      </c>
      <c r="G153" s="95">
        <v>2028</v>
      </c>
      <c r="H153" s="95">
        <v>2029</v>
      </c>
    </row>
    <row r="154" spans="1:8" s="92" customFormat="1" x14ac:dyDescent="0.3">
      <c r="D154" s="94" t="s">
        <v>76</v>
      </c>
      <c r="E154" s="99">
        <f>E137-E129</f>
        <v>27.315591778880275</v>
      </c>
      <c r="F154" s="99">
        <f>F137-F129</f>
        <v>27.412410426017914</v>
      </c>
      <c r="G154" s="99">
        <f t="shared" ref="G154:H154" si="17">G137-G129</f>
        <v>27.54318669011559</v>
      </c>
      <c r="H154" s="99">
        <f t="shared" si="17"/>
        <v>27.424097649372698</v>
      </c>
    </row>
    <row r="155" spans="1:8" s="92" customFormat="1" x14ac:dyDescent="0.3">
      <c r="D155" s="94" t="s">
        <v>77</v>
      </c>
      <c r="E155" s="186">
        <f>SUM(E154:H154)-C148</f>
        <v>69.695286544386477</v>
      </c>
      <c r="F155" s="187"/>
      <c r="G155" s="187"/>
      <c r="H155" s="187"/>
    </row>
    <row r="156" spans="1:8" s="92" customFormat="1" x14ac:dyDescent="0.3">
      <c r="E156" s="110" t="s">
        <v>222</v>
      </c>
    </row>
    <row r="157" spans="1:8" s="92" customFormat="1" x14ac:dyDescent="0.3"/>
    <row r="158" spans="1:8" s="92" customFormat="1" x14ac:dyDescent="0.3">
      <c r="A158" s="92" t="s">
        <v>57</v>
      </c>
    </row>
    <row r="159" spans="1:8" s="92" customFormat="1" x14ac:dyDescent="0.3">
      <c r="A159" s="184" t="s">
        <v>79</v>
      </c>
      <c r="B159" s="184"/>
      <c r="C159" s="2">
        <f>(E155-C148)/C148</f>
        <v>0.74238216360966192</v>
      </c>
    </row>
    <row r="160" spans="1:8" s="92" customFormat="1" x14ac:dyDescent="0.3"/>
    <row r="161" spans="1:8" s="92" customFormat="1" x14ac:dyDescent="0.3">
      <c r="A161" s="184" t="s">
        <v>72</v>
      </c>
      <c r="B161" s="184"/>
      <c r="C161" s="107">
        <f>C148/E155*4</f>
        <v>2.2957076142889754</v>
      </c>
      <c r="D161" s="92" t="s">
        <v>81</v>
      </c>
    </row>
    <row r="162" spans="1:8" s="92" customFormat="1" x14ac:dyDescent="0.3"/>
    <row r="163" spans="1:8" s="92" customFormat="1" x14ac:dyDescent="0.3">
      <c r="A163" s="92" t="s">
        <v>150</v>
      </c>
    </row>
    <row r="164" spans="1:8" s="92" customFormat="1" x14ac:dyDescent="0.3">
      <c r="A164" s="184" t="s">
        <v>82</v>
      </c>
      <c r="B164" s="184"/>
      <c r="C164" s="108">
        <v>0.1</v>
      </c>
    </row>
    <row r="165" spans="1:8" s="92" customFormat="1" x14ac:dyDescent="0.3"/>
    <row r="166" spans="1:8" s="92" customFormat="1" x14ac:dyDescent="0.3">
      <c r="E166" s="176" t="s">
        <v>95</v>
      </c>
      <c r="F166" s="176"/>
      <c r="G166" s="176"/>
      <c r="H166" s="176"/>
    </row>
    <row r="167" spans="1:8" s="92" customFormat="1" x14ac:dyDescent="0.3">
      <c r="E167" s="95" t="s">
        <v>83</v>
      </c>
      <c r="F167" s="95" t="s">
        <v>84</v>
      </c>
      <c r="G167" s="95" t="s">
        <v>85</v>
      </c>
      <c r="H167" s="95" t="s">
        <v>86</v>
      </c>
    </row>
    <row r="168" spans="1:8" s="92" customFormat="1" x14ac:dyDescent="0.3">
      <c r="E168" s="99">
        <f>E154/(1+$C$164)^1</f>
        <v>24.832356162618431</v>
      </c>
      <c r="F168" s="99">
        <f>F154/(1+$C$164)^2</f>
        <v>22.654884649601577</v>
      </c>
      <c r="G168" s="99">
        <f>G154/(1+$C$164)^3</f>
        <v>20.693603824279176</v>
      </c>
      <c r="H168" s="99">
        <f>H154/(1+$C$164)^4</f>
        <v>18.731027695767153</v>
      </c>
    </row>
    <row r="169" spans="1:8" s="92" customFormat="1" x14ac:dyDescent="0.3"/>
    <row r="170" spans="1:8" s="92" customFormat="1" x14ac:dyDescent="0.3">
      <c r="E170" s="102" t="s">
        <v>87</v>
      </c>
      <c r="F170" s="1">
        <f>-C148+SUM(E168:H168)</f>
        <v>46.911872332266341</v>
      </c>
      <c r="G170" s="110" t="s">
        <v>100</v>
      </c>
    </row>
    <row r="171" spans="1:8" s="92" customFormat="1" x14ac:dyDescent="0.3">
      <c r="E171" s="102" t="s">
        <v>92</v>
      </c>
      <c r="F171" s="109">
        <f>F170*(1+C164)^4</f>
        <v>68.683672281671164</v>
      </c>
      <c r="G171" s="110" t="s">
        <v>151</v>
      </c>
    </row>
    <row r="172" spans="1:8" s="92" customFormat="1" x14ac:dyDescent="0.3">
      <c r="E172" s="102"/>
      <c r="F172" s="109"/>
    </row>
    <row r="173" spans="1:8" s="92" customFormat="1" x14ac:dyDescent="0.3">
      <c r="A173" s="92" t="s">
        <v>97</v>
      </c>
      <c r="E173" s="102"/>
      <c r="F173" s="109"/>
    </row>
    <row r="174" spans="1:8" s="92" customFormat="1" x14ac:dyDescent="0.3">
      <c r="E174" s="102"/>
      <c r="F174" s="109"/>
    </row>
    <row r="175" spans="1:8" s="92" customFormat="1" x14ac:dyDescent="0.3">
      <c r="E175" s="176" t="s">
        <v>96</v>
      </c>
      <c r="F175" s="176"/>
      <c r="G175" s="176"/>
      <c r="H175" s="176"/>
    </row>
    <row r="176" spans="1:8" s="92" customFormat="1" x14ac:dyDescent="0.3">
      <c r="E176" s="95" t="s">
        <v>88</v>
      </c>
      <c r="F176" s="95" t="s">
        <v>89</v>
      </c>
      <c r="G176" s="95" t="s">
        <v>90</v>
      </c>
      <c r="H176" s="95" t="s">
        <v>91</v>
      </c>
    </row>
    <row r="177" spans="1:8" s="92" customFormat="1" x14ac:dyDescent="0.3">
      <c r="E177" s="99">
        <f>E154*(1+$C$164)^3</f>
        <v>36.357052657689657</v>
      </c>
      <c r="F177" s="99">
        <f>F154*(1+$C$164)^2</f>
        <v>33.169016615481681</v>
      </c>
      <c r="G177" s="99">
        <f>G154*(1+$C$164)^1</f>
        <v>30.29750535912715</v>
      </c>
      <c r="H177" s="99">
        <f>H154</f>
        <v>27.424097649372698</v>
      </c>
    </row>
    <row r="178" spans="1:8" s="92" customFormat="1" x14ac:dyDescent="0.3"/>
    <row r="179" spans="1:8" s="92" customFormat="1" x14ac:dyDescent="0.3">
      <c r="E179" s="102" t="s">
        <v>93</v>
      </c>
      <c r="F179" s="111">
        <f>SUM(E177:H177)-C148</f>
        <v>87.247672281671186</v>
      </c>
    </row>
    <row r="180" spans="1:8" s="92" customFormat="1" x14ac:dyDescent="0.3">
      <c r="E180" s="102" t="s">
        <v>94</v>
      </c>
      <c r="F180" s="111">
        <f>C148*(1+C164)^4-C148</f>
        <v>18.564000000000014</v>
      </c>
    </row>
    <row r="181" spans="1:8" s="92" customFormat="1" x14ac:dyDescent="0.3">
      <c r="E181" s="102" t="s">
        <v>98</v>
      </c>
      <c r="F181" s="109">
        <f>F179-F180</f>
        <v>68.683672281671164</v>
      </c>
      <c r="G181" s="110" t="s">
        <v>99</v>
      </c>
    </row>
    <row r="182" spans="1:8" s="92" customFormat="1" x14ac:dyDescent="0.3">
      <c r="E182" s="102"/>
      <c r="F182" s="112"/>
    </row>
    <row r="183" spans="1:8" s="92" customFormat="1" x14ac:dyDescent="0.3">
      <c r="E183" s="102"/>
      <c r="F183" s="113"/>
    </row>
    <row r="184" spans="1:8" s="114" customFormat="1" x14ac:dyDescent="0.3">
      <c r="E184" s="115"/>
      <c r="F184" s="116"/>
    </row>
    <row r="185" spans="1:8" s="118" customFormat="1" ht="21" x14ac:dyDescent="0.4">
      <c r="A185" s="117" t="s">
        <v>152</v>
      </c>
    </row>
    <row r="186" spans="1:8" s="118" customFormat="1" x14ac:dyDescent="0.3"/>
    <row r="187" spans="1:8" s="118" customFormat="1" x14ac:dyDescent="0.3">
      <c r="A187" s="119" t="s">
        <v>156</v>
      </c>
      <c r="B187" s="120"/>
      <c r="D187" s="121" t="s">
        <v>168</v>
      </c>
    </row>
    <row r="188" spans="1:8" s="118" customFormat="1" x14ac:dyDescent="0.3">
      <c r="A188" s="120" t="s">
        <v>153</v>
      </c>
      <c r="B188" s="122">
        <v>100</v>
      </c>
      <c r="D188" s="118" t="s">
        <v>169</v>
      </c>
    </row>
    <row r="189" spans="1:8" s="118" customFormat="1" x14ac:dyDescent="0.3">
      <c r="A189" s="120" t="s">
        <v>154</v>
      </c>
      <c r="B189" s="122">
        <v>200</v>
      </c>
    </row>
    <row r="190" spans="1:8" s="118" customFormat="1" x14ac:dyDescent="0.3">
      <c r="A190" s="120" t="s">
        <v>155</v>
      </c>
      <c r="B190" s="122">
        <v>250</v>
      </c>
    </row>
    <row r="191" spans="1:8" s="118" customFormat="1" x14ac:dyDescent="0.3">
      <c r="A191" s="123" t="s">
        <v>160</v>
      </c>
      <c r="B191" s="124">
        <f>SUM(B188:B190)</f>
        <v>550</v>
      </c>
    </row>
    <row r="192" spans="1:8" s="118" customFormat="1" x14ac:dyDescent="0.3"/>
    <row r="193" spans="1:3" s="118" customFormat="1" x14ac:dyDescent="0.3">
      <c r="A193" s="119" t="s">
        <v>162</v>
      </c>
      <c r="B193" s="120"/>
    </row>
    <row r="194" spans="1:3" s="118" customFormat="1" x14ac:dyDescent="0.3">
      <c r="A194" s="120" t="s">
        <v>157</v>
      </c>
      <c r="B194" s="122">
        <v>2</v>
      </c>
    </row>
    <row r="195" spans="1:3" s="118" customFormat="1" x14ac:dyDescent="0.3">
      <c r="A195" s="120" t="s">
        <v>158</v>
      </c>
      <c r="B195" s="122">
        <v>3</v>
      </c>
    </row>
    <row r="196" spans="1:3" s="118" customFormat="1" x14ac:dyDescent="0.3">
      <c r="A196" s="120" t="s">
        <v>159</v>
      </c>
      <c r="B196" s="122">
        <v>4</v>
      </c>
    </row>
    <row r="197" spans="1:3" s="118" customFormat="1" x14ac:dyDescent="0.3">
      <c r="A197" s="123" t="s">
        <v>161</v>
      </c>
      <c r="B197" s="124">
        <f>SUM(B194:B196)</f>
        <v>9</v>
      </c>
    </row>
    <row r="198" spans="1:3" s="118" customFormat="1" x14ac:dyDescent="0.3"/>
    <row r="199" spans="1:3" s="118" customFormat="1" x14ac:dyDescent="0.3"/>
    <row r="200" spans="1:3" s="118" customFormat="1" x14ac:dyDescent="0.3">
      <c r="A200" s="118" t="s">
        <v>163</v>
      </c>
      <c r="B200" s="125">
        <v>40</v>
      </c>
    </row>
    <row r="201" spans="1:3" s="118" customFormat="1" x14ac:dyDescent="0.3"/>
    <row r="202" spans="1:3" s="118" customFormat="1" x14ac:dyDescent="0.3">
      <c r="A202" s="118" t="s">
        <v>164</v>
      </c>
      <c r="B202" s="68">
        <f>B191/(B200-B197)</f>
        <v>17.741935483870968</v>
      </c>
      <c r="C202" s="118" t="s">
        <v>167</v>
      </c>
    </row>
    <row r="203" spans="1:3" s="118" customFormat="1" x14ac:dyDescent="0.3">
      <c r="A203" s="118" t="s">
        <v>165</v>
      </c>
      <c r="B203" s="126">
        <f>B202*B200</f>
        <v>709.67741935483878</v>
      </c>
      <c r="C203" s="118" t="s">
        <v>166</v>
      </c>
    </row>
    <row r="204" spans="1:3" s="118" customFormat="1" x14ac:dyDescent="0.3"/>
    <row r="205" spans="1:3" s="118" customFormat="1" x14ac:dyDescent="0.3"/>
    <row r="206" spans="1:3" s="44" customFormat="1" x14ac:dyDescent="0.3"/>
    <row r="207" spans="1:3" s="43" customFormat="1" ht="21" x14ac:dyDescent="0.4">
      <c r="A207" s="85" t="s">
        <v>170</v>
      </c>
    </row>
    <row r="208" spans="1:3" s="43" customFormat="1" x14ac:dyDescent="0.3"/>
    <row r="209" spans="1:7" s="43" customFormat="1" x14ac:dyDescent="0.3">
      <c r="A209" s="127" t="s">
        <v>203</v>
      </c>
      <c r="B209" s="43" t="s">
        <v>183</v>
      </c>
    </row>
    <row r="210" spans="1:7" s="43" customFormat="1" x14ac:dyDescent="0.3">
      <c r="A210" s="46"/>
      <c r="B210" s="48" t="s">
        <v>180</v>
      </c>
      <c r="C210" s="48" t="s">
        <v>181</v>
      </c>
      <c r="D210" s="48" t="s">
        <v>182</v>
      </c>
      <c r="E210" s="48" t="s">
        <v>187</v>
      </c>
      <c r="F210" s="48" t="s">
        <v>188</v>
      </c>
      <c r="G210" s="128"/>
    </row>
    <row r="211" spans="1:7" s="43" customFormat="1" x14ac:dyDescent="0.3">
      <c r="A211" s="46" t="s">
        <v>179</v>
      </c>
      <c r="B211" s="50">
        <v>6</v>
      </c>
      <c r="C211" s="50">
        <v>4</v>
      </c>
      <c r="D211" s="50">
        <v>4</v>
      </c>
      <c r="E211" s="50">
        <v>14</v>
      </c>
      <c r="F211" s="53">
        <f>E211*C211</f>
        <v>56</v>
      </c>
      <c r="G211" s="128"/>
    </row>
    <row r="212" spans="1:7" s="43" customFormat="1" x14ac:dyDescent="0.3">
      <c r="A212" s="46" t="s">
        <v>184</v>
      </c>
      <c r="B212" s="50">
        <v>30</v>
      </c>
      <c r="C212" s="50">
        <v>26</v>
      </c>
      <c r="D212" s="50">
        <v>50</v>
      </c>
      <c r="E212" s="50">
        <v>20</v>
      </c>
      <c r="F212" s="53">
        <f t="shared" ref="F212:F214" si="18">E212*C212</f>
        <v>520</v>
      </c>
    </row>
    <row r="213" spans="1:7" s="43" customFormat="1" x14ac:dyDescent="0.3">
      <c r="A213" s="46" t="s">
        <v>185</v>
      </c>
      <c r="B213" s="50">
        <v>10</v>
      </c>
      <c r="C213" s="50">
        <v>2</v>
      </c>
      <c r="D213" s="50">
        <v>1</v>
      </c>
      <c r="E213" s="50">
        <v>25</v>
      </c>
      <c r="F213" s="53">
        <f t="shared" si="18"/>
        <v>50</v>
      </c>
    </row>
    <row r="214" spans="1:7" s="43" customFormat="1" x14ac:dyDescent="0.3">
      <c r="A214" s="46" t="s">
        <v>186</v>
      </c>
      <c r="B214" s="50">
        <v>4</v>
      </c>
      <c r="C214" s="50">
        <v>0</v>
      </c>
      <c r="D214" s="50">
        <v>0</v>
      </c>
      <c r="E214" s="50">
        <v>35</v>
      </c>
      <c r="F214" s="53">
        <f t="shared" si="18"/>
        <v>0</v>
      </c>
    </row>
    <row r="215" spans="1:7" s="43" customFormat="1" x14ac:dyDescent="0.3">
      <c r="A215" s="46" t="s">
        <v>17</v>
      </c>
      <c r="B215" s="53">
        <f>SUM(B211:B214)</f>
        <v>50</v>
      </c>
      <c r="C215" s="53">
        <f>SUM(C211:C214)</f>
        <v>32</v>
      </c>
      <c r="D215" s="53">
        <f>SUM(D211:D214)</f>
        <v>55</v>
      </c>
      <c r="E215" s="48" t="s">
        <v>29</v>
      </c>
      <c r="F215" s="53">
        <f>SUM(F211:F214)</f>
        <v>626</v>
      </c>
    </row>
    <row r="216" spans="1:7" s="43" customFormat="1" x14ac:dyDescent="0.3">
      <c r="B216" s="129"/>
      <c r="C216" s="129"/>
      <c r="D216" s="129"/>
      <c r="E216" s="128"/>
      <c r="F216" s="129"/>
    </row>
    <row r="217" spans="1:7" s="43" customFormat="1" x14ac:dyDescent="0.3">
      <c r="A217" s="127" t="s">
        <v>203</v>
      </c>
      <c r="B217" s="43" t="s">
        <v>190</v>
      </c>
    </row>
    <row r="218" spans="1:7" s="43" customFormat="1" x14ac:dyDescent="0.3">
      <c r="A218" s="46"/>
      <c r="B218" s="48" t="s">
        <v>180</v>
      </c>
      <c r="C218" s="48" t="s">
        <v>181</v>
      </c>
      <c r="D218" s="48" t="s">
        <v>182</v>
      </c>
      <c r="E218" s="48" t="s">
        <v>187</v>
      </c>
      <c r="F218" s="48" t="s">
        <v>188</v>
      </c>
    </row>
    <row r="219" spans="1:7" s="43" customFormat="1" x14ac:dyDescent="0.3">
      <c r="A219" s="46" t="s">
        <v>179</v>
      </c>
      <c r="B219" s="50">
        <v>6</v>
      </c>
      <c r="C219" s="50">
        <v>3</v>
      </c>
      <c r="D219" s="50">
        <v>3</v>
      </c>
      <c r="E219" s="50">
        <v>14</v>
      </c>
      <c r="F219" s="53">
        <f>E219*C219</f>
        <v>42</v>
      </c>
    </row>
    <row r="220" spans="1:7" s="43" customFormat="1" x14ac:dyDescent="0.3">
      <c r="A220" s="46" t="s">
        <v>184</v>
      </c>
      <c r="B220" s="50">
        <v>30</v>
      </c>
      <c r="C220" s="50">
        <v>30</v>
      </c>
      <c r="D220" s="50">
        <v>60</v>
      </c>
      <c r="E220" s="50">
        <v>20</v>
      </c>
      <c r="F220" s="53">
        <f t="shared" ref="F220:F222" si="19">E220*C220</f>
        <v>600</v>
      </c>
    </row>
    <row r="221" spans="1:7" s="43" customFormat="1" x14ac:dyDescent="0.3">
      <c r="A221" s="46" t="s">
        <v>185</v>
      </c>
      <c r="B221" s="50">
        <v>10</v>
      </c>
      <c r="C221" s="50">
        <v>4</v>
      </c>
      <c r="D221" s="50">
        <v>4</v>
      </c>
      <c r="E221" s="50">
        <v>25</v>
      </c>
      <c r="F221" s="53">
        <f t="shared" si="19"/>
        <v>100</v>
      </c>
    </row>
    <row r="222" spans="1:7" s="43" customFormat="1" x14ac:dyDescent="0.3">
      <c r="A222" s="46" t="s">
        <v>186</v>
      </c>
      <c r="B222" s="50">
        <v>4</v>
      </c>
      <c r="C222" s="50">
        <v>0</v>
      </c>
      <c r="D222" s="50">
        <v>0</v>
      </c>
      <c r="E222" s="50">
        <v>35</v>
      </c>
      <c r="F222" s="53">
        <f t="shared" si="19"/>
        <v>0</v>
      </c>
    </row>
    <row r="223" spans="1:7" s="43" customFormat="1" x14ac:dyDescent="0.3">
      <c r="A223" s="46" t="s">
        <v>17</v>
      </c>
      <c r="B223" s="53">
        <f t="shared" ref="B223" si="20">SUM(B219:B222)</f>
        <v>50</v>
      </c>
      <c r="C223" s="53">
        <f t="shared" ref="C223" si="21">SUM(C219:C222)</f>
        <v>37</v>
      </c>
      <c r="D223" s="53">
        <f t="shared" ref="D223" si="22">SUM(D219:D222)</f>
        <v>67</v>
      </c>
      <c r="E223" s="48" t="s">
        <v>29</v>
      </c>
      <c r="F223" s="53">
        <f>SUM(F219:F222)</f>
        <v>742</v>
      </c>
    </row>
    <row r="224" spans="1:7" s="43" customFormat="1" x14ac:dyDescent="0.3">
      <c r="B224" s="130"/>
      <c r="C224" s="130"/>
      <c r="D224" s="130"/>
      <c r="E224" s="130"/>
      <c r="F224" s="129"/>
    </row>
    <row r="225" spans="1:6" s="43" customFormat="1" x14ac:dyDescent="0.3">
      <c r="A225" s="46" t="s">
        <v>191</v>
      </c>
      <c r="B225" s="48" t="s">
        <v>194</v>
      </c>
      <c r="C225" s="48" t="s">
        <v>195</v>
      </c>
      <c r="D225" s="48" t="s">
        <v>196</v>
      </c>
      <c r="E225" s="48" t="s">
        <v>0</v>
      </c>
      <c r="F225" s="129"/>
    </row>
    <row r="226" spans="1:6" s="43" customFormat="1" x14ac:dyDescent="0.3">
      <c r="A226" s="46" t="s">
        <v>192</v>
      </c>
      <c r="B226" s="50">
        <v>2</v>
      </c>
      <c r="C226" s="50">
        <v>40</v>
      </c>
      <c r="D226" s="50">
        <v>45</v>
      </c>
      <c r="E226" s="53">
        <f>SUM(C226:D226)*B226</f>
        <v>170</v>
      </c>
      <c r="F226" s="129"/>
    </row>
    <row r="227" spans="1:6" s="43" customFormat="1" x14ac:dyDescent="0.3">
      <c r="A227" s="46" t="s">
        <v>193</v>
      </c>
      <c r="B227" s="50">
        <v>5</v>
      </c>
      <c r="C227" s="50">
        <v>5</v>
      </c>
      <c r="D227" s="50">
        <v>6</v>
      </c>
      <c r="E227" s="53">
        <f>SUM(C227:D227)*B227</f>
        <v>55</v>
      </c>
      <c r="F227" s="129"/>
    </row>
    <row r="228" spans="1:6" s="43" customFormat="1" x14ac:dyDescent="0.3">
      <c r="A228" s="46" t="s">
        <v>17</v>
      </c>
      <c r="B228" s="48" t="s">
        <v>29</v>
      </c>
      <c r="C228" s="48" t="s">
        <v>29</v>
      </c>
      <c r="D228" s="48" t="s">
        <v>29</v>
      </c>
      <c r="E228" s="53">
        <f>SUM(E226:E227)</f>
        <v>225</v>
      </c>
      <c r="F228" s="129"/>
    </row>
    <row r="229" spans="1:6" s="43" customFormat="1" x14ac:dyDescent="0.3">
      <c r="B229" s="130"/>
      <c r="C229" s="130"/>
      <c r="D229" s="130"/>
      <c r="E229" s="130"/>
      <c r="F229" s="129"/>
    </row>
    <row r="230" spans="1:6" s="43" customFormat="1" x14ac:dyDescent="0.3">
      <c r="A230" s="43" t="s">
        <v>200</v>
      </c>
      <c r="B230" s="130"/>
      <c r="C230" s="130"/>
      <c r="D230" s="130"/>
      <c r="E230" s="130"/>
      <c r="F230" s="129"/>
    </row>
    <row r="231" spans="1:6" s="43" customFormat="1" x14ac:dyDescent="0.3">
      <c r="A231" s="43">
        <v>2</v>
      </c>
      <c r="B231" s="131" t="s">
        <v>199</v>
      </c>
      <c r="C231" s="130"/>
      <c r="D231" s="130"/>
      <c r="E231" s="130"/>
      <c r="F231" s="129"/>
    </row>
    <row r="232" spans="1:6" s="43" customFormat="1" x14ac:dyDescent="0.3">
      <c r="B232" s="131"/>
      <c r="C232" s="130"/>
      <c r="D232" s="130"/>
      <c r="E232" s="130"/>
      <c r="F232" s="129"/>
    </row>
    <row r="233" spans="1:6" s="43" customFormat="1" x14ac:dyDescent="0.3">
      <c r="A233" s="167" t="s">
        <v>209</v>
      </c>
      <c r="B233" s="167"/>
      <c r="C233" s="167"/>
      <c r="D233" s="53">
        <f>F215+F223+E228</f>
        <v>1593</v>
      </c>
    </row>
    <row r="234" spans="1:6" s="43" customFormat="1" x14ac:dyDescent="0.3">
      <c r="A234" s="168" t="s">
        <v>210</v>
      </c>
      <c r="B234" s="169"/>
      <c r="C234" s="170"/>
      <c r="D234" s="53">
        <f>F215+F223</f>
        <v>1368</v>
      </c>
    </row>
    <row r="235" spans="1:6" s="43" customFormat="1" x14ac:dyDescent="0.3">
      <c r="A235" s="167" t="s">
        <v>211</v>
      </c>
      <c r="B235" s="167"/>
      <c r="C235" s="167"/>
      <c r="D235" s="53">
        <f>AVERAGE(B215,B223)</f>
        <v>50</v>
      </c>
    </row>
    <row r="236" spans="1:6" s="43" customFormat="1" x14ac:dyDescent="0.3">
      <c r="A236" s="168" t="s">
        <v>212</v>
      </c>
      <c r="B236" s="169"/>
      <c r="C236" s="170"/>
      <c r="D236" s="53">
        <f>D235*A231</f>
        <v>100</v>
      </c>
    </row>
    <row r="237" spans="1:6" s="43" customFormat="1" x14ac:dyDescent="0.3">
      <c r="A237" s="168" t="s">
        <v>213</v>
      </c>
      <c r="B237" s="169"/>
      <c r="C237" s="170"/>
      <c r="D237" s="53">
        <f>C215+C223</f>
        <v>69</v>
      </c>
    </row>
    <row r="238" spans="1:6" s="43" customFormat="1" x14ac:dyDescent="0.3">
      <c r="A238" s="167" t="s">
        <v>214</v>
      </c>
      <c r="B238" s="167"/>
      <c r="C238" s="167"/>
      <c r="D238" s="132">
        <f>D237/D236</f>
        <v>0.69</v>
      </c>
    </row>
    <row r="239" spans="1:6" s="43" customFormat="1" x14ac:dyDescent="0.3">
      <c r="A239" s="167" t="s">
        <v>215</v>
      </c>
      <c r="B239" s="167"/>
      <c r="C239" s="167"/>
      <c r="D239" s="133">
        <f>(D215+D223)/(C215+C223)</f>
        <v>1.7681159420289856</v>
      </c>
    </row>
    <row r="240" spans="1:6" s="43" customFormat="1" x14ac:dyDescent="0.3">
      <c r="A240" s="167" t="s">
        <v>216</v>
      </c>
      <c r="B240" s="167"/>
      <c r="C240" s="167"/>
      <c r="D240" s="133">
        <f>D234/(C215+C223)</f>
        <v>19.826086956521738</v>
      </c>
    </row>
    <row r="241" spans="1:6" s="43" customFormat="1" x14ac:dyDescent="0.3">
      <c r="A241" s="167" t="s">
        <v>217</v>
      </c>
      <c r="B241" s="167"/>
      <c r="C241" s="167"/>
      <c r="D241" s="133">
        <f>D234/D235</f>
        <v>27.36</v>
      </c>
    </row>
    <row r="242" spans="1:6" s="43" customFormat="1" x14ac:dyDescent="0.3">
      <c r="A242" s="167" t="s">
        <v>218</v>
      </c>
      <c r="B242" s="167"/>
      <c r="C242" s="167"/>
      <c r="D242" s="133">
        <f>D233/(D215+D223)</f>
        <v>13.057377049180328</v>
      </c>
    </row>
    <row r="243" spans="1:6" s="43" customFormat="1" x14ac:dyDescent="0.3"/>
    <row r="244" spans="1:6" s="43" customFormat="1" x14ac:dyDescent="0.3">
      <c r="A244" s="41" t="s">
        <v>202</v>
      </c>
    </row>
    <row r="245" spans="1:6" s="43" customFormat="1" x14ac:dyDescent="0.3">
      <c r="A245" s="43" t="s">
        <v>201</v>
      </c>
    </row>
    <row r="246" spans="1:6" s="43" customFormat="1" x14ac:dyDescent="0.3">
      <c r="A246" s="127" t="s">
        <v>205</v>
      </c>
      <c r="B246" s="134">
        <v>0.25</v>
      </c>
      <c r="C246" s="43" t="s">
        <v>206</v>
      </c>
    </row>
    <row r="247" spans="1:6" s="43" customFormat="1" x14ac:dyDescent="0.3"/>
    <row r="248" spans="1:6" s="43" customFormat="1" x14ac:dyDescent="0.3">
      <c r="A248" s="127" t="s">
        <v>204</v>
      </c>
      <c r="B248" s="43" t="s">
        <v>183</v>
      </c>
    </row>
    <row r="249" spans="1:6" s="43" customFormat="1" x14ac:dyDescent="0.3">
      <c r="A249" s="46"/>
      <c r="B249" s="48" t="s">
        <v>180</v>
      </c>
      <c r="C249" s="48" t="s">
        <v>181</v>
      </c>
      <c r="D249" s="48" t="s">
        <v>182</v>
      </c>
      <c r="E249" s="48" t="s">
        <v>187</v>
      </c>
      <c r="F249" s="48" t="s">
        <v>188</v>
      </c>
    </row>
    <row r="250" spans="1:6" s="43" customFormat="1" x14ac:dyDescent="0.3">
      <c r="A250" s="46" t="s">
        <v>179</v>
      </c>
      <c r="B250" s="50">
        <v>6</v>
      </c>
      <c r="C250" s="50">
        <v>6</v>
      </c>
      <c r="D250" s="50">
        <v>6</v>
      </c>
      <c r="E250" s="52">
        <f>E211-E211*$B$246</f>
        <v>10.5</v>
      </c>
      <c r="F250" s="52">
        <f>E250*C250</f>
        <v>63</v>
      </c>
    </row>
    <row r="251" spans="1:6" s="43" customFormat="1" x14ac:dyDescent="0.3">
      <c r="A251" s="46" t="s">
        <v>184</v>
      </c>
      <c r="B251" s="50">
        <v>30</v>
      </c>
      <c r="C251" s="50">
        <v>30</v>
      </c>
      <c r="D251" s="50">
        <v>60</v>
      </c>
      <c r="E251" s="52">
        <f>E212-E212*$B$246</f>
        <v>15</v>
      </c>
      <c r="F251" s="52">
        <f t="shared" ref="F251:F253" si="23">E251*C251</f>
        <v>450</v>
      </c>
    </row>
    <row r="252" spans="1:6" s="43" customFormat="1" x14ac:dyDescent="0.3">
      <c r="A252" s="46" t="s">
        <v>185</v>
      </c>
      <c r="B252" s="50">
        <v>10</v>
      </c>
      <c r="C252" s="50">
        <v>8</v>
      </c>
      <c r="D252" s="50">
        <v>16</v>
      </c>
      <c r="E252" s="52">
        <f t="shared" ref="E252:E253" si="24">E213-E213*$B$246</f>
        <v>18.75</v>
      </c>
      <c r="F252" s="52">
        <f t="shared" si="23"/>
        <v>150</v>
      </c>
    </row>
    <row r="253" spans="1:6" s="43" customFormat="1" x14ac:dyDescent="0.3">
      <c r="A253" s="46" t="s">
        <v>186</v>
      </c>
      <c r="B253" s="50">
        <v>4</v>
      </c>
      <c r="C253" s="50">
        <v>4</v>
      </c>
      <c r="D253" s="50">
        <v>4</v>
      </c>
      <c r="E253" s="52">
        <f t="shared" si="24"/>
        <v>26.25</v>
      </c>
      <c r="F253" s="52">
        <f t="shared" si="23"/>
        <v>105</v>
      </c>
    </row>
    <row r="254" spans="1:6" s="43" customFormat="1" x14ac:dyDescent="0.3">
      <c r="A254" s="46" t="s">
        <v>17</v>
      </c>
      <c r="B254" s="53">
        <f>SUM(B250:B253)</f>
        <v>50</v>
      </c>
      <c r="C254" s="53">
        <f>SUM(C250:C253)</f>
        <v>48</v>
      </c>
      <c r="D254" s="53">
        <f>SUM(D250:D253)</f>
        <v>86</v>
      </c>
      <c r="E254" s="48" t="s">
        <v>29</v>
      </c>
      <c r="F254" s="52">
        <f>SUM(F250:F253)</f>
        <v>768</v>
      </c>
    </row>
    <row r="255" spans="1:6" s="43" customFormat="1" x14ac:dyDescent="0.3">
      <c r="B255" s="129"/>
      <c r="C255" s="129"/>
      <c r="D255" s="129"/>
      <c r="E255" s="128"/>
      <c r="F255" s="129"/>
    </row>
    <row r="256" spans="1:6" s="43" customFormat="1" x14ac:dyDescent="0.3">
      <c r="A256" s="127" t="s">
        <v>204</v>
      </c>
      <c r="B256" s="43" t="s">
        <v>190</v>
      </c>
    </row>
    <row r="257" spans="1:6" s="43" customFormat="1" x14ac:dyDescent="0.3">
      <c r="A257" s="46"/>
      <c r="B257" s="48" t="s">
        <v>180</v>
      </c>
      <c r="C257" s="48" t="s">
        <v>181</v>
      </c>
      <c r="D257" s="48" t="s">
        <v>182</v>
      </c>
      <c r="E257" s="48" t="s">
        <v>187</v>
      </c>
      <c r="F257" s="48" t="s">
        <v>188</v>
      </c>
    </row>
    <row r="258" spans="1:6" s="43" customFormat="1" x14ac:dyDescent="0.3">
      <c r="A258" s="46" t="s">
        <v>179</v>
      </c>
      <c r="B258" s="50">
        <v>6</v>
      </c>
      <c r="C258" s="50">
        <v>3</v>
      </c>
      <c r="D258" s="50">
        <v>3</v>
      </c>
      <c r="E258" s="52">
        <f>E219-E219*$B$246</f>
        <v>10.5</v>
      </c>
      <c r="F258" s="52">
        <f>E258*C258</f>
        <v>31.5</v>
      </c>
    </row>
    <row r="259" spans="1:6" s="43" customFormat="1" x14ac:dyDescent="0.3">
      <c r="A259" s="46" t="s">
        <v>184</v>
      </c>
      <c r="B259" s="50">
        <v>30</v>
      </c>
      <c r="C259" s="50">
        <v>30</v>
      </c>
      <c r="D259" s="50">
        <v>60</v>
      </c>
      <c r="E259" s="52">
        <f t="shared" ref="E259:E261" si="25">E220-E220*$B$246</f>
        <v>15</v>
      </c>
      <c r="F259" s="52">
        <f t="shared" ref="F259:F261" si="26">E259*C259</f>
        <v>450</v>
      </c>
    </row>
    <row r="260" spans="1:6" s="43" customFormat="1" x14ac:dyDescent="0.3">
      <c r="A260" s="46" t="s">
        <v>185</v>
      </c>
      <c r="B260" s="50">
        <v>10</v>
      </c>
      <c r="C260" s="50">
        <v>4</v>
      </c>
      <c r="D260" s="50">
        <v>4</v>
      </c>
      <c r="E260" s="52">
        <f t="shared" si="25"/>
        <v>18.75</v>
      </c>
      <c r="F260" s="52">
        <f t="shared" si="26"/>
        <v>75</v>
      </c>
    </row>
    <row r="261" spans="1:6" s="43" customFormat="1" x14ac:dyDescent="0.3">
      <c r="A261" s="46" t="s">
        <v>186</v>
      </c>
      <c r="B261" s="50">
        <v>4</v>
      </c>
      <c r="C261" s="50">
        <v>0</v>
      </c>
      <c r="D261" s="50">
        <v>0</v>
      </c>
      <c r="E261" s="52">
        <f t="shared" si="25"/>
        <v>26.25</v>
      </c>
      <c r="F261" s="52">
        <f t="shared" si="26"/>
        <v>0</v>
      </c>
    </row>
    <row r="262" spans="1:6" s="43" customFormat="1" x14ac:dyDescent="0.3">
      <c r="A262" s="46" t="s">
        <v>17</v>
      </c>
      <c r="B262" s="53">
        <f t="shared" ref="B262" si="27">SUM(B258:B261)</f>
        <v>50</v>
      </c>
      <c r="C262" s="53">
        <f t="shared" ref="C262" si="28">SUM(C258:C261)</f>
        <v>37</v>
      </c>
      <c r="D262" s="53">
        <f t="shared" ref="D262" si="29">SUM(D258:D261)</f>
        <v>67</v>
      </c>
      <c r="E262" s="48" t="s">
        <v>29</v>
      </c>
      <c r="F262" s="52">
        <f>SUM(F258:F261)</f>
        <v>556.5</v>
      </c>
    </row>
    <row r="263" spans="1:6" s="43" customFormat="1" x14ac:dyDescent="0.3">
      <c r="B263" s="130"/>
      <c r="C263" s="130"/>
      <c r="D263" s="130"/>
      <c r="E263" s="130"/>
      <c r="F263" s="129"/>
    </row>
    <row r="264" spans="1:6" s="43" customFormat="1" x14ac:dyDescent="0.3">
      <c r="A264" s="46" t="s">
        <v>191</v>
      </c>
      <c r="B264" s="48" t="s">
        <v>194</v>
      </c>
      <c r="C264" s="48" t="s">
        <v>195</v>
      </c>
      <c r="D264" s="48" t="s">
        <v>196</v>
      </c>
      <c r="E264" s="48" t="s">
        <v>0</v>
      </c>
      <c r="F264" s="129"/>
    </row>
    <row r="265" spans="1:6" s="43" customFormat="1" x14ac:dyDescent="0.3">
      <c r="A265" s="46" t="s">
        <v>192</v>
      </c>
      <c r="B265" s="52">
        <f>B226-B226*$B$246</f>
        <v>1.5</v>
      </c>
      <c r="C265" s="50">
        <v>84</v>
      </c>
      <c r="D265" s="50">
        <v>84</v>
      </c>
      <c r="E265" s="52">
        <f>SUM(C265:D265)*B265</f>
        <v>252</v>
      </c>
      <c r="F265" s="129"/>
    </row>
    <row r="266" spans="1:6" s="43" customFormat="1" x14ac:dyDescent="0.3">
      <c r="A266" s="46" t="s">
        <v>193</v>
      </c>
      <c r="B266" s="52">
        <f>B227-B227*$B$246</f>
        <v>3.75</v>
      </c>
      <c r="C266" s="50">
        <v>20</v>
      </c>
      <c r="D266" s="50">
        <v>0</v>
      </c>
      <c r="E266" s="52">
        <f>SUM(C266:D266)*B266</f>
        <v>75</v>
      </c>
      <c r="F266" s="129"/>
    </row>
    <row r="267" spans="1:6" s="43" customFormat="1" x14ac:dyDescent="0.3">
      <c r="A267" s="46" t="s">
        <v>17</v>
      </c>
      <c r="B267" s="48" t="s">
        <v>29</v>
      </c>
      <c r="C267" s="48" t="s">
        <v>29</v>
      </c>
      <c r="D267" s="48" t="s">
        <v>29</v>
      </c>
      <c r="E267" s="52">
        <f>SUM(E265:E266)</f>
        <v>327</v>
      </c>
      <c r="F267" s="129"/>
    </row>
    <row r="268" spans="1:6" s="43" customFormat="1" x14ac:dyDescent="0.3">
      <c r="B268" s="130"/>
      <c r="C268" s="130"/>
      <c r="D268" s="130"/>
      <c r="E268" s="130"/>
      <c r="F268" s="129"/>
    </row>
    <row r="269" spans="1:6" s="43" customFormat="1" x14ac:dyDescent="0.3">
      <c r="A269" s="43" t="s">
        <v>200</v>
      </c>
      <c r="B269" s="130"/>
      <c r="C269" s="130"/>
      <c r="D269" s="130"/>
      <c r="E269" s="130"/>
      <c r="F269" s="129"/>
    </row>
    <row r="270" spans="1:6" s="43" customFormat="1" x14ac:dyDescent="0.3">
      <c r="A270" s="43">
        <v>2</v>
      </c>
      <c r="B270" s="131" t="s">
        <v>199</v>
      </c>
      <c r="C270" s="130"/>
      <c r="D270" s="130"/>
      <c r="E270" s="130"/>
      <c r="F270" s="129"/>
    </row>
    <row r="271" spans="1:6" s="43" customFormat="1" x14ac:dyDescent="0.3">
      <c r="B271" s="131"/>
      <c r="C271" s="130"/>
      <c r="D271" s="130"/>
      <c r="E271" s="48" t="s">
        <v>207</v>
      </c>
      <c r="F271" s="48" t="s">
        <v>208</v>
      </c>
    </row>
    <row r="272" spans="1:6" s="43" customFormat="1" x14ac:dyDescent="0.3">
      <c r="A272" s="167" t="s">
        <v>176</v>
      </c>
      <c r="B272" s="167"/>
      <c r="C272" s="167"/>
      <c r="D272" s="52">
        <f>F254+F262+E267</f>
        <v>1651.5</v>
      </c>
      <c r="E272" s="135">
        <f>D272-D233</f>
        <v>58.5</v>
      </c>
      <c r="F272" s="132">
        <f>D272/D233-100%</f>
        <v>3.672316384180796E-2</v>
      </c>
    </row>
    <row r="273" spans="1:6" s="43" customFormat="1" x14ac:dyDescent="0.3">
      <c r="A273" s="168" t="s">
        <v>171</v>
      </c>
      <c r="B273" s="169"/>
      <c r="C273" s="170"/>
      <c r="D273" s="52">
        <f>F254+F262</f>
        <v>1324.5</v>
      </c>
      <c r="E273" s="135">
        <f t="shared" ref="E273:E281" si="30">D273-D234</f>
        <v>-43.5</v>
      </c>
      <c r="F273" s="132">
        <f t="shared" ref="F273:F281" si="31">D273/D234-100%</f>
        <v>-3.1798245614035103E-2</v>
      </c>
    </row>
    <row r="274" spans="1:6" s="43" customFormat="1" x14ac:dyDescent="0.3">
      <c r="A274" s="167" t="s">
        <v>197</v>
      </c>
      <c r="B274" s="167"/>
      <c r="C274" s="167"/>
      <c r="D274" s="53">
        <f>AVERAGE(B254,B262)</f>
        <v>50</v>
      </c>
      <c r="E274" s="53">
        <f>AVERAGE(B254,B262)</f>
        <v>50</v>
      </c>
      <c r="F274" s="132">
        <f t="shared" si="31"/>
        <v>0</v>
      </c>
    </row>
    <row r="275" spans="1:6" s="43" customFormat="1" x14ac:dyDescent="0.3">
      <c r="A275" s="168" t="s">
        <v>198</v>
      </c>
      <c r="B275" s="169"/>
      <c r="C275" s="170"/>
      <c r="D275" s="53">
        <f>D274*A270</f>
        <v>100</v>
      </c>
      <c r="E275" s="135">
        <f t="shared" si="30"/>
        <v>0</v>
      </c>
      <c r="F275" s="132">
        <f t="shared" si="31"/>
        <v>0</v>
      </c>
    </row>
    <row r="276" spans="1:6" s="43" customFormat="1" x14ac:dyDescent="0.3">
      <c r="A276" s="168" t="s">
        <v>178</v>
      </c>
      <c r="B276" s="169"/>
      <c r="C276" s="170"/>
      <c r="D276" s="53">
        <f>C254+C262</f>
        <v>85</v>
      </c>
      <c r="E276" s="135">
        <f t="shared" si="30"/>
        <v>16</v>
      </c>
      <c r="F276" s="132">
        <f t="shared" si="31"/>
        <v>0.23188405797101441</v>
      </c>
    </row>
    <row r="277" spans="1:6" s="43" customFormat="1" x14ac:dyDescent="0.3">
      <c r="A277" s="167" t="s">
        <v>172</v>
      </c>
      <c r="B277" s="167"/>
      <c r="C277" s="167"/>
      <c r="D277" s="132">
        <f>D276/D275</f>
        <v>0.85</v>
      </c>
      <c r="E277" s="132">
        <f>D276/D275-D237/D236</f>
        <v>0.16000000000000003</v>
      </c>
      <c r="F277" s="132">
        <f t="shared" si="31"/>
        <v>0.23188405797101463</v>
      </c>
    </row>
    <row r="278" spans="1:6" s="43" customFormat="1" x14ac:dyDescent="0.3">
      <c r="A278" s="167" t="s">
        <v>177</v>
      </c>
      <c r="B278" s="167"/>
      <c r="C278" s="167"/>
      <c r="D278" s="133">
        <f>(D254+D262)/(C254+C262)</f>
        <v>1.8</v>
      </c>
      <c r="E278" s="135">
        <f>D278-D239</f>
        <v>3.1884057971014457E-2</v>
      </c>
      <c r="F278" s="132">
        <f t="shared" si="31"/>
        <v>1.8032786885245899E-2</v>
      </c>
    </row>
    <row r="279" spans="1:6" s="43" customFormat="1" x14ac:dyDescent="0.3">
      <c r="A279" s="167" t="s">
        <v>173</v>
      </c>
      <c r="B279" s="167"/>
      <c r="C279" s="167"/>
      <c r="D279" s="133">
        <f>D273/(C254+C262)</f>
        <v>15.58235294117647</v>
      </c>
      <c r="E279" s="135">
        <f t="shared" si="30"/>
        <v>-4.2437340153452681</v>
      </c>
      <c r="F279" s="132">
        <f t="shared" si="31"/>
        <v>-0.214047987616099</v>
      </c>
    </row>
    <row r="280" spans="1:6" s="43" customFormat="1" x14ac:dyDescent="0.3">
      <c r="A280" s="167" t="s">
        <v>174</v>
      </c>
      <c r="B280" s="167"/>
      <c r="C280" s="167"/>
      <c r="D280" s="133">
        <f>D273/D274</f>
        <v>26.49</v>
      </c>
      <c r="E280" s="135">
        <f t="shared" si="30"/>
        <v>-0.87000000000000099</v>
      </c>
      <c r="F280" s="5">
        <f t="shared" si="31"/>
        <v>-3.1798245614035103E-2</v>
      </c>
    </row>
    <row r="281" spans="1:6" s="43" customFormat="1" x14ac:dyDescent="0.3">
      <c r="A281" s="167" t="s">
        <v>175</v>
      </c>
      <c r="B281" s="167"/>
      <c r="C281" s="167"/>
      <c r="D281" s="133">
        <f>D272/(D254+D262)</f>
        <v>10.794117647058824</v>
      </c>
      <c r="E281" s="135">
        <f t="shared" si="30"/>
        <v>-2.2632594021215038</v>
      </c>
      <c r="F281" s="132">
        <f t="shared" si="31"/>
        <v>-0.17333185628300285</v>
      </c>
    </row>
    <row r="282" spans="1:6" s="43" customFormat="1" x14ac:dyDescent="0.3"/>
    <row r="283" spans="1:6" s="43" customFormat="1" x14ac:dyDescent="0.3"/>
    <row r="284" spans="1:6" s="43" customFormat="1" x14ac:dyDescent="0.3"/>
    <row r="285" spans="1:6" s="139" customFormat="1" x14ac:dyDescent="0.3"/>
    <row r="286" spans="1:6" s="141" customFormat="1" ht="21" x14ac:dyDescent="0.4">
      <c r="A286" s="140" t="s">
        <v>232</v>
      </c>
    </row>
    <row r="287" spans="1:6" s="141" customFormat="1" ht="14.4" customHeight="1" x14ac:dyDescent="0.4">
      <c r="A287" s="140"/>
    </row>
    <row r="288" spans="1:6" s="142" customFormat="1" x14ac:dyDescent="0.3">
      <c r="A288" s="142" t="s">
        <v>254</v>
      </c>
    </row>
    <row r="289" spans="1:5" s="142" customFormat="1" x14ac:dyDescent="0.3"/>
    <row r="290" spans="1:5" s="141" customFormat="1" x14ac:dyDescent="0.3">
      <c r="A290" s="189" t="s">
        <v>226</v>
      </c>
      <c r="B290" s="189"/>
      <c r="C290" s="189"/>
      <c r="D290" s="143">
        <v>50</v>
      </c>
      <c r="E290" s="142" t="s">
        <v>229</v>
      </c>
    </row>
    <row r="291" spans="1:5" s="141" customFormat="1" x14ac:dyDescent="0.3">
      <c r="A291" s="189" t="s">
        <v>223</v>
      </c>
      <c r="B291" s="189"/>
      <c r="C291" s="189"/>
      <c r="D291" s="143">
        <v>25</v>
      </c>
      <c r="E291" s="141" t="s">
        <v>225</v>
      </c>
    </row>
    <row r="292" spans="1:5" s="141" customFormat="1" x14ac:dyDescent="0.3">
      <c r="A292" s="189" t="s">
        <v>224</v>
      </c>
      <c r="B292" s="189"/>
      <c r="C292" s="189"/>
      <c r="D292" s="144">
        <f>D291/D290</f>
        <v>0.5</v>
      </c>
    </row>
    <row r="293" spans="1:5" s="141" customFormat="1" x14ac:dyDescent="0.3">
      <c r="A293" s="189"/>
      <c r="B293" s="189"/>
      <c r="C293" s="189"/>
      <c r="D293" s="143"/>
    </row>
    <row r="294" spans="1:5" s="141" customFormat="1" x14ac:dyDescent="0.3">
      <c r="A294" s="189" t="s">
        <v>227</v>
      </c>
      <c r="B294" s="189"/>
      <c r="C294" s="189"/>
      <c r="D294" s="145">
        <v>0.2</v>
      </c>
      <c r="E294" s="142" t="s">
        <v>230</v>
      </c>
    </row>
    <row r="295" spans="1:5" s="141" customFormat="1" x14ac:dyDescent="0.3">
      <c r="E295" s="141" t="s">
        <v>231</v>
      </c>
    </row>
    <row r="296" spans="1:5" s="141" customFormat="1" x14ac:dyDescent="0.3">
      <c r="A296" s="189" t="s">
        <v>228</v>
      </c>
      <c r="B296" s="189"/>
      <c r="C296" s="189"/>
      <c r="D296" s="146">
        <f>D292*(1-D294)</f>
        <v>0.4</v>
      </c>
    </row>
    <row r="297" spans="1:5" s="141" customFormat="1" x14ac:dyDescent="0.3"/>
    <row r="298" spans="1:5" s="141" customFormat="1" x14ac:dyDescent="0.3">
      <c r="A298" s="189" t="s">
        <v>253</v>
      </c>
      <c r="B298" s="189"/>
      <c r="C298" s="189"/>
      <c r="D298" s="146">
        <f>D292-D296</f>
        <v>9.9999999999999978E-2</v>
      </c>
      <c r="E298" s="147" t="s">
        <v>252</v>
      </c>
    </row>
    <row r="299" spans="1:5" s="141" customFormat="1" x14ac:dyDescent="0.3"/>
    <row r="300" spans="1:5" s="141" customFormat="1" x14ac:dyDescent="0.3">
      <c r="A300" s="142" t="s">
        <v>233</v>
      </c>
    </row>
    <row r="301" spans="1:5" s="141" customFormat="1" x14ac:dyDescent="0.3"/>
    <row r="302" spans="1:5" s="141" customFormat="1" x14ac:dyDescent="0.3">
      <c r="A302" s="141" t="s">
        <v>234</v>
      </c>
    </row>
    <row r="303" spans="1:5" s="141" customFormat="1" x14ac:dyDescent="0.3"/>
    <row r="304" spans="1:5" s="141" customFormat="1" x14ac:dyDescent="0.3">
      <c r="A304" s="189" t="s">
        <v>235</v>
      </c>
      <c r="B304" s="189"/>
      <c r="C304" s="189"/>
      <c r="D304" s="189"/>
      <c r="E304" s="148">
        <v>60</v>
      </c>
    </row>
    <row r="305" spans="1:7" s="141" customFormat="1" x14ac:dyDescent="0.3">
      <c r="A305" s="189" t="s">
        <v>237</v>
      </c>
      <c r="B305" s="189"/>
      <c r="C305" s="189"/>
      <c r="D305" s="189"/>
      <c r="E305" s="149">
        <v>0.2</v>
      </c>
      <c r="F305" s="147" t="s">
        <v>250</v>
      </c>
    </row>
    <row r="306" spans="1:7" s="141" customFormat="1" x14ac:dyDescent="0.3">
      <c r="A306" s="189" t="s">
        <v>238</v>
      </c>
      <c r="B306" s="189"/>
      <c r="C306" s="189"/>
      <c r="D306" s="189"/>
      <c r="E306" s="150">
        <f>E304*E305</f>
        <v>12</v>
      </c>
    </row>
    <row r="307" spans="1:7" s="141" customFormat="1" x14ac:dyDescent="0.3">
      <c r="A307" s="189" t="s">
        <v>240</v>
      </c>
      <c r="B307" s="189"/>
      <c r="C307" s="189"/>
      <c r="D307" s="189"/>
      <c r="E307" s="150">
        <f>E306*D291</f>
        <v>300</v>
      </c>
    </row>
    <row r="308" spans="1:7" s="141" customFormat="1" x14ac:dyDescent="0.3">
      <c r="A308" s="189" t="s">
        <v>241</v>
      </c>
      <c r="B308" s="189"/>
      <c r="C308" s="189"/>
      <c r="D308" s="189"/>
      <c r="E308" s="150">
        <f>E306*D290*D296</f>
        <v>240</v>
      </c>
    </row>
    <row r="309" spans="1:7" s="141" customFormat="1" x14ac:dyDescent="0.3">
      <c r="A309" s="189" t="s">
        <v>239</v>
      </c>
      <c r="B309" s="189"/>
      <c r="C309" s="189"/>
      <c r="D309" s="189"/>
      <c r="E309" s="150">
        <f>E307-E308</f>
        <v>60</v>
      </c>
    </row>
    <row r="310" spans="1:7" s="141" customFormat="1" x14ac:dyDescent="0.3"/>
    <row r="311" spans="1:7" s="141" customFormat="1" x14ac:dyDescent="0.3">
      <c r="A311" s="151"/>
      <c r="B311" s="190" t="s">
        <v>58</v>
      </c>
      <c r="C311" s="191"/>
      <c r="D311" s="192"/>
      <c r="E311" s="152" t="s">
        <v>49</v>
      </c>
      <c r="F311" s="152" t="s">
        <v>50</v>
      </c>
    </row>
    <row r="312" spans="1:7" s="141" customFormat="1" x14ac:dyDescent="0.3">
      <c r="A312" s="152"/>
      <c r="B312" s="153" t="s">
        <v>40</v>
      </c>
      <c r="C312" s="152" t="s">
        <v>41</v>
      </c>
      <c r="D312" s="152" t="s">
        <v>42</v>
      </c>
      <c r="E312" s="152" t="s">
        <v>243</v>
      </c>
      <c r="F312" s="152" t="s">
        <v>244</v>
      </c>
    </row>
    <row r="313" spans="1:7" s="141" customFormat="1" x14ac:dyDescent="0.3">
      <c r="A313" s="151" t="s">
        <v>0</v>
      </c>
      <c r="B313" s="154">
        <v>700</v>
      </c>
      <c r="C313" s="155">
        <v>750</v>
      </c>
      <c r="D313" s="155">
        <v>730</v>
      </c>
      <c r="E313" s="156">
        <f>AVERAGE(B313:D313)</f>
        <v>726.66666666666663</v>
      </c>
      <c r="F313" s="157">
        <f>AVERAGE(B313:D313)</f>
        <v>726.66666666666663</v>
      </c>
    </row>
    <row r="314" spans="1:7" s="141" customFormat="1" x14ac:dyDescent="0.3">
      <c r="A314" s="151" t="s">
        <v>43</v>
      </c>
      <c r="B314" s="154">
        <v>400</v>
      </c>
      <c r="C314" s="155">
        <v>450</v>
      </c>
      <c r="D314" s="155">
        <v>420</v>
      </c>
      <c r="E314" s="157">
        <f>E313*E321</f>
        <v>423.10676233963898</v>
      </c>
      <c r="F314" s="158">
        <f>E314-C325</f>
        <v>363.10676233963898</v>
      </c>
    </row>
    <row r="315" spans="1:7" s="141" customFormat="1" x14ac:dyDescent="0.3">
      <c r="A315" s="151" t="s">
        <v>2</v>
      </c>
      <c r="B315" s="156">
        <f>B313-B314</f>
        <v>300</v>
      </c>
      <c r="C315" s="156">
        <f t="shared" ref="C315:F315" si="32">C313-C314</f>
        <v>300</v>
      </c>
      <c r="D315" s="156">
        <f t="shared" si="32"/>
        <v>310</v>
      </c>
      <c r="E315" s="156">
        <f t="shared" si="32"/>
        <v>303.55990432702765</v>
      </c>
      <c r="F315" s="156">
        <f t="shared" si="32"/>
        <v>363.55990432702765</v>
      </c>
      <c r="G315" s="156">
        <f>F315-E315</f>
        <v>60</v>
      </c>
    </row>
    <row r="316" spans="1:7" s="141" customFormat="1" x14ac:dyDescent="0.3">
      <c r="A316" s="151" t="s">
        <v>44</v>
      </c>
      <c r="B316" s="159">
        <f>B315/B314</f>
        <v>0.75</v>
      </c>
      <c r="C316" s="159">
        <f>C315/C314</f>
        <v>0.66666666666666663</v>
      </c>
      <c r="D316" s="159">
        <f>D315/D314</f>
        <v>0.73809523809523814</v>
      </c>
      <c r="E316" s="5">
        <f t="shared" ref="E316:F316" si="33">E315/E314</f>
        <v>0.71745462693255679</v>
      </c>
      <c r="F316" s="166">
        <f t="shared" si="33"/>
        <v>1.0012479579957942</v>
      </c>
      <c r="G316" s="160" t="s">
        <v>245</v>
      </c>
    </row>
    <row r="317" spans="1:7" s="141" customFormat="1" x14ac:dyDescent="0.3">
      <c r="A317" s="151" t="s">
        <v>45</v>
      </c>
      <c r="B317" s="159">
        <f>B315/B313</f>
        <v>0.42857142857142855</v>
      </c>
      <c r="C317" s="159">
        <f>C315/C313</f>
        <v>0.4</v>
      </c>
      <c r="D317" s="159">
        <f>D315/D313</f>
        <v>0.42465753424657532</v>
      </c>
      <c r="E317" s="159">
        <f t="shared" ref="E317:F317" si="34">E315/E313</f>
        <v>0.41774298760600137</v>
      </c>
      <c r="F317" s="159">
        <f t="shared" si="34"/>
        <v>0.50031179494545097</v>
      </c>
    </row>
    <row r="318" spans="1:7" s="141" customFormat="1" x14ac:dyDescent="0.3">
      <c r="B318" s="161"/>
      <c r="C318" s="161"/>
      <c r="D318" s="161"/>
      <c r="E318" s="161"/>
      <c r="F318" s="161"/>
    </row>
    <row r="319" spans="1:7" s="141" customFormat="1" x14ac:dyDescent="0.3">
      <c r="B319" s="161"/>
      <c r="C319" s="161"/>
      <c r="D319" s="161"/>
      <c r="E319" s="161"/>
      <c r="F319" s="161"/>
    </row>
    <row r="320" spans="1:7" s="141" customFormat="1" x14ac:dyDescent="0.3">
      <c r="A320" s="151"/>
      <c r="B320" s="152">
        <v>2023</v>
      </c>
      <c r="C320" s="152">
        <v>2024</v>
      </c>
      <c r="D320" s="152">
        <v>2025</v>
      </c>
      <c r="E320" s="152" t="s">
        <v>55</v>
      </c>
    </row>
    <row r="321" spans="1:5" s="141" customFormat="1" x14ac:dyDescent="0.3">
      <c r="A321" s="151" t="s">
        <v>54</v>
      </c>
      <c r="B321" s="162">
        <f>B314/B313</f>
        <v>0.5714285714285714</v>
      </c>
      <c r="C321" s="162">
        <f t="shared" ref="C321:D321" si="35">C314/C313</f>
        <v>0.6</v>
      </c>
      <c r="D321" s="162">
        <f t="shared" si="35"/>
        <v>0.57534246575342463</v>
      </c>
      <c r="E321" s="163">
        <f>AVERAGE(B321:D321)</f>
        <v>0.58225701239399863</v>
      </c>
    </row>
    <row r="322" spans="1:5" s="141" customFormat="1" x14ac:dyDescent="0.3"/>
    <row r="323" spans="1:5" s="141" customFormat="1" x14ac:dyDescent="0.3">
      <c r="A323" s="141" t="s">
        <v>236</v>
      </c>
    </row>
    <row r="324" spans="1:5" s="141" customFormat="1" x14ac:dyDescent="0.3">
      <c r="A324" s="193" t="s">
        <v>56</v>
      </c>
      <c r="B324" s="193"/>
      <c r="C324" s="164">
        <v>40</v>
      </c>
    </row>
    <row r="325" spans="1:5" s="141" customFormat="1" x14ac:dyDescent="0.3">
      <c r="A325" s="193" t="s">
        <v>242</v>
      </c>
      <c r="B325" s="193"/>
      <c r="C325" s="165">
        <f>E309</f>
        <v>60</v>
      </c>
      <c r="D325" s="147" t="s">
        <v>249</v>
      </c>
    </row>
    <row r="326" spans="1:5" s="141" customFormat="1" x14ac:dyDescent="0.3"/>
    <row r="327" spans="1:5" s="141" customFormat="1" x14ac:dyDescent="0.3">
      <c r="A327" s="141" t="s">
        <v>246</v>
      </c>
      <c r="B327" s="1">
        <f>G315-C324</f>
        <v>20</v>
      </c>
    </row>
    <row r="328" spans="1:5" s="141" customFormat="1" x14ac:dyDescent="0.3">
      <c r="A328" s="141" t="s">
        <v>247</v>
      </c>
      <c r="B328" s="2">
        <f>B327/C324</f>
        <v>0.5</v>
      </c>
    </row>
    <row r="329" spans="1:5" s="141" customFormat="1" x14ac:dyDescent="0.3">
      <c r="B329" s="144"/>
    </row>
    <row r="330" spans="1:5" s="141" customFormat="1" x14ac:dyDescent="0.3">
      <c r="A330" s="147" t="s">
        <v>251</v>
      </c>
      <c r="B330" s="144"/>
    </row>
    <row r="331" spans="1:5" s="141" customFormat="1" x14ac:dyDescent="0.3"/>
    <row r="332" spans="1:5" s="4" customFormat="1" x14ac:dyDescent="0.3"/>
  </sheetData>
  <mergeCells count="59">
    <mergeCell ref="B311:D311"/>
    <mergeCell ref="A324:B324"/>
    <mergeCell ref="A325:B325"/>
    <mergeCell ref="A304:D304"/>
    <mergeCell ref="A305:D305"/>
    <mergeCell ref="A306:D306"/>
    <mergeCell ref="A307:D307"/>
    <mergeCell ref="A308:D308"/>
    <mergeCell ref="A309:D309"/>
    <mergeCell ref="A296:C296"/>
    <mergeCell ref="A298:C298"/>
    <mergeCell ref="A290:C290"/>
    <mergeCell ref="A291:C291"/>
    <mergeCell ref="A292:C292"/>
    <mergeCell ref="A293:C293"/>
    <mergeCell ref="A294:C294"/>
    <mergeCell ref="A1:E1"/>
    <mergeCell ref="A159:B159"/>
    <mergeCell ref="A161:B161"/>
    <mergeCell ref="E166:H166"/>
    <mergeCell ref="A164:B164"/>
    <mergeCell ref="A148:B148"/>
    <mergeCell ref="A149:B149"/>
    <mergeCell ref="E125:H125"/>
    <mergeCell ref="E133:H133"/>
    <mergeCell ref="A117:B117"/>
    <mergeCell ref="E155:H155"/>
    <mergeCell ref="D151:H151"/>
    <mergeCell ref="A98:B98"/>
    <mergeCell ref="A97:B97"/>
    <mergeCell ref="A111:B111"/>
    <mergeCell ref="A114:B114"/>
    <mergeCell ref="A15:B15"/>
    <mergeCell ref="A233:C233"/>
    <mergeCell ref="A235:C235"/>
    <mergeCell ref="A238:C238"/>
    <mergeCell ref="A2:E2"/>
    <mergeCell ref="A3:E3"/>
    <mergeCell ref="A4:E4"/>
    <mergeCell ref="E175:H175"/>
    <mergeCell ref="B88:D88"/>
    <mergeCell ref="B125:D125"/>
    <mergeCell ref="A240:C240"/>
    <mergeCell ref="A241:C241"/>
    <mergeCell ref="A242:C242"/>
    <mergeCell ref="A239:C239"/>
    <mergeCell ref="A234:C234"/>
    <mergeCell ref="A237:C237"/>
    <mergeCell ref="A236:C236"/>
    <mergeCell ref="A278:C278"/>
    <mergeCell ref="A279:C279"/>
    <mergeCell ref="A280:C280"/>
    <mergeCell ref="A281:C281"/>
    <mergeCell ref="A272:C272"/>
    <mergeCell ref="A273:C273"/>
    <mergeCell ref="A274:C274"/>
    <mergeCell ref="A275:C275"/>
    <mergeCell ref="A276:C276"/>
    <mergeCell ref="A277:C277"/>
  </mergeCells>
  <phoneticPr fontId="6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Инвестиции эффективность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Pereverzev</dc:creator>
  <cp:lastModifiedBy>Andrey Pereverzev</cp:lastModifiedBy>
  <dcterms:created xsi:type="dcterms:W3CDTF">2026-02-17T16:29:39Z</dcterms:created>
  <dcterms:modified xsi:type="dcterms:W3CDTF">2026-03-17T08:02:13Z</dcterms:modified>
</cp:coreProperties>
</file>