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ет" sheetId="1" state="visible" r:id="rId1"/>
    <sheet name="Ист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0" customWidth="1" min="3" max="3"/>
    <col width="58" customWidth="1" min="4" max="4"/>
  </cols>
  <sheetData>
    <row r="1" ht="22" customHeight="1">
      <c r="A1" s="1" t="inlineStr">
        <is>
          <t>Расчет эффективности блокчейн-решения для гостиницы на 100 номеров</t>
        </is>
      </c>
    </row>
    <row r="2" ht="22" customHeight="1"/>
    <row r="3" ht="22" customHeight="1">
      <c r="A3" s="2" t="inlineStr">
        <is>
          <t>Показатель</t>
        </is>
      </c>
      <c r="B3" s="2" t="inlineStr">
        <is>
          <t>Значение</t>
        </is>
      </c>
      <c r="C3" s="2" t="inlineStr">
        <is>
          <t>Ед.</t>
        </is>
      </c>
      <c r="D3" s="2" t="inlineStr">
        <is>
          <t>Основание / источник</t>
        </is>
      </c>
    </row>
    <row r="4" ht="22" customHeight="1">
      <c r="A4" s="3" t="inlineStr">
        <is>
          <t>1. Исходные данные</t>
        </is>
      </c>
      <c r="B4" s="3" t="n"/>
      <c r="C4" s="3" t="n"/>
      <c r="D4" s="3" t="n"/>
    </row>
    <row r="5" ht="22" customHeight="1">
      <c r="A5" s="4" t="inlineStr">
        <is>
          <t>Номерной фонд</t>
        </is>
      </c>
      <c r="B5" s="5" t="n">
        <v>100</v>
      </c>
      <c r="C5" s="5" t="inlineStr">
        <is>
          <t>номеров</t>
        </is>
      </c>
      <c r="D5" s="4" t="inlineStr">
        <is>
          <t>Модель среднего городского отеля Москвы</t>
        </is>
      </c>
    </row>
    <row r="6" ht="22" customHeight="1">
      <c r="A6" s="4" t="inlineStr">
        <is>
          <t>RevPAR гостиниц 4* Москвы</t>
        </is>
      </c>
      <c r="B6" s="6" t="n">
        <v>5866</v>
      </c>
      <c r="C6" s="5" t="inlineStr">
        <is>
          <t>руб./сутки</t>
        </is>
      </c>
      <c r="D6" s="4" t="inlineStr">
        <is>
          <t>Nikoliers / Hotel Advisors, итоги 2024 года</t>
        </is>
      </c>
    </row>
    <row r="7" ht="22" customHeight="1">
      <c r="A7" s="4" t="inlineStr">
        <is>
          <t>Годовая выручка номерного фонда</t>
        </is>
      </c>
      <c r="B7" s="7">
        <f>B5*365*B6</f>
        <v/>
      </c>
      <c r="C7" s="5" t="inlineStr">
        <is>
          <t>руб.</t>
        </is>
      </c>
      <c r="D7" s="4" t="inlineStr">
        <is>
          <t>Расчет по RevPAR</t>
        </is>
      </c>
    </row>
    <row r="8" ht="22" customHeight="1">
      <c r="A8" s="4" t="inlineStr">
        <is>
          <t>Доля бронирований через внешние каналы без проекта</t>
        </is>
      </c>
      <c r="B8" s="8" t="n">
        <v>0.38</v>
      </c>
      <c r="C8" s="5" t="inlineStr">
        <is>
          <t>доля</t>
        </is>
      </c>
      <c r="D8" s="4" t="inlineStr">
        <is>
          <t>Консервативный сценарий смешанной дистрибуции</t>
        </is>
      </c>
    </row>
    <row r="9" ht="22" customHeight="1">
      <c r="A9" s="4" t="inlineStr">
        <is>
          <t>Доля бронирований через внешние каналы с проектом</t>
        </is>
      </c>
      <c r="B9" s="8" t="n">
        <v>0.34</v>
      </c>
      <c r="C9" s="5" t="inlineStr">
        <is>
          <t>доля</t>
        </is>
      </c>
      <c r="D9" s="4" t="inlineStr">
        <is>
          <t>Эффект усиления прямого канала</t>
        </is>
      </c>
    </row>
    <row r="10" ht="22" customHeight="1">
      <c r="A10" s="4" t="inlineStr">
        <is>
          <t>Комиссия внешнего канала</t>
        </is>
      </c>
      <c r="B10" s="8" t="n">
        <v>0.17</v>
      </c>
      <c r="C10" s="5" t="inlineStr">
        <is>
          <t>доля</t>
        </is>
      </c>
      <c r="D10" s="4" t="inlineStr">
        <is>
          <t>Публичная оферта Яндекс Путешествий</t>
        </is>
      </c>
    </row>
    <row r="11" ht="22" customHeight="1">
      <c r="A11" s="4" t="inlineStr">
        <is>
          <t>Оклад менеджера по бронированию</t>
        </is>
      </c>
      <c r="B11" s="6" t="n">
        <v>85000</v>
      </c>
      <c r="C11" s="5" t="inlineStr">
        <is>
          <t>руб./мес.</t>
        </is>
      </c>
      <c r="D11" s="4" t="inlineStr">
        <is>
          <t>Ориентир по вакансиям hh.ru: 82-100 тыс. руб.</t>
        </is>
      </c>
    </row>
    <row r="12" ht="22" customHeight="1">
      <c r="A12" s="4" t="inlineStr">
        <is>
          <t>Количество менеджеров по бронированию</t>
        </is>
      </c>
      <c r="B12" s="5" t="n">
        <v>2</v>
      </c>
      <c r="C12" s="5" t="inlineStr">
        <is>
          <t>чел.</t>
        </is>
      </c>
      <c r="D12" s="4" t="inlineStr">
        <is>
          <t>Принятая операционная модель</t>
        </is>
      </c>
    </row>
    <row r="13" ht="22" customHeight="1">
      <c r="A13" s="4" t="inlineStr">
        <is>
          <t>Оклад администратора бронирования</t>
        </is>
      </c>
      <c r="B13" s="6" t="n">
        <v>100000</v>
      </c>
      <c r="C13" s="5" t="inlineStr">
        <is>
          <t>руб./мес.</t>
        </is>
      </c>
      <c r="D13" s="4" t="inlineStr">
        <is>
          <t>Вакансия Гостиница Байкал на hh.ru</t>
        </is>
      </c>
    </row>
    <row r="14" ht="22" customHeight="1">
      <c r="A14" s="4" t="inlineStr">
        <is>
          <t>Страховые начисления</t>
        </is>
      </c>
      <c r="B14" s="8" t="n">
        <v>0.3</v>
      </c>
      <c r="C14" s="5" t="inlineStr">
        <is>
          <t>доля</t>
        </is>
      </c>
      <c r="D14" s="4" t="inlineStr">
        <is>
          <t>Принятая ставка для расчета ФОТ</t>
        </is>
      </c>
    </row>
    <row r="15" ht="22" customHeight="1">
      <c r="A15" s="4" t="inlineStr">
        <is>
          <t>Доля ручной обработки у менеджеров до проекта</t>
        </is>
      </c>
      <c r="B15" s="8" t="n">
        <v>0.45</v>
      </c>
      <c r="C15" s="5" t="inlineStr">
        <is>
          <t>доля</t>
        </is>
      </c>
      <c r="D15" s="4" t="inlineStr">
        <is>
          <t>Сверка OTA, подтверждения, изменения, возвраты</t>
        </is>
      </c>
    </row>
    <row r="16" ht="22" customHeight="1">
      <c r="A16" s="4" t="inlineStr">
        <is>
          <t>Доля ручной обработки у менеджеров с проектом</t>
        </is>
      </c>
      <c r="B16" s="8" t="n">
        <v>0.25</v>
      </c>
      <c r="C16" s="5" t="inlineStr">
        <is>
          <t>доля</t>
        </is>
      </c>
      <c r="D16" s="4" t="inlineStr">
        <is>
          <t>После фиксации статусов и автоматизации</t>
        </is>
      </c>
    </row>
    <row r="17" ht="22" customHeight="1">
      <c r="A17" s="4" t="inlineStr">
        <is>
          <t>Доля ручной обработки у администратора до проекта</t>
        </is>
      </c>
      <c r="B17" s="8" t="n">
        <v>0.2</v>
      </c>
      <c r="C17" s="5" t="inlineStr">
        <is>
          <t>доля</t>
        </is>
      </c>
      <c r="D17" s="4" t="inlineStr">
        <is>
          <t>Часть времени на сверку и претензионные операции</t>
        </is>
      </c>
    </row>
    <row r="18" ht="22" customHeight="1">
      <c r="A18" s="4" t="inlineStr">
        <is>
          <t>Доля ручной обработки у администратора с проектом</t>
        </is>
      </c>
      <c r="B18" s="8" t="n">
        <v>0.1</v>
      </c>
      <c r="C18" s="5" t="inlineStr">
        <is>
          <t>доля</t>
        </is>
      </c>
      <c r="D18" s="4" t="inlineStr">
        <is>
          <t>После перехода на подтверждаемую историю операций</t>
        </is>
      </c>
    </row>
    <row r="19" ht="22" customHeight="1">
      <c r="A19" s="4" t="inlineStr">
        <is>
          <t>Ставка backend-разработчика</t>
        </is>
      </c>
      <c r="B19" s="6" t="n">
        <v>175000</v>
      </c>
      <c r="C19" s="5" t="inlineStr">
        <is>
          <t>руб./мес.</t>
        </is>
      </c>
      <c r="D19" s="4" t="inlineStr">
        <is>
          <t>Finder / hh.ru, медианный ориентир по Москве</t>
        </is>
      </c>
    </row>
    <row r="20" ht="22" customHeight="1">
      <c r="A20" s="4" t="inlineStr">
        <is>
          <t>Трудоемкость backend-разработчика</t>
        </is>
      </c>
      <c r="B20" s="5" t="n">
        <v>2</v>
      </c>
      <c r="C20" s="5" t="inlineStr">
        <is>
          <t>мес.</t>
        </is>
      </c>
      <c r="D20" s="4" t="inlineStr">
        <is>
          <t>Минимальный проект внедрения</t>
        </is>
      </c>
    </row>
    <row r="21" ht="22" customHeight="1">
      <c r="A21" s="4" t="inlineStr">
        <is>
          <t>Ставка бизнес-аналитика</t>
        </is>
      </c>
      <c r="B21" s="6" t="n">
        <v>200000</v>
      </c>
      <c r="C21" s="5" t="inlineStr">
        <is>
          <t>руб./мес.</t>
        </is>
      </c>
      <c r="D21" s="4" t="inlineStr">
        <is>
          <t>hh.ru / Levels.fyi, среднерыночный ориентир</t>
        </is>
      </c>
    </row>
    <row r="22" ht="22" customHeight="1">
      <c r="A22" s="4" t="inlineStr">
        <is>
          <t>Трудоемкость бизнес-аналитика</t>
        </is>
      </c>
      <c r="B22" s="5" t="n">
        <v>1.5</v>
      </c>
      <c r="C22" s="5" t="inlineStr">
        <is>
          <t>мес.</t>
        </is>
      </c>
      <c r="D22" s="4" t="inlineStr">
        <is>
          <t>Подготовка модели, требований и регламентов</t>
        </is>
      </c>
    </row>
    <row r="23" ht="22" customHeight="1">
      <c r="A23" s="4" t="inlineStr">
        <is>
          <t>Ставка QA-специалиста</t>
        </is>
      </c>
      <c r="B23" s="6" t="n">
        <v>150000</v>
      </c>
      <c r="C23" s="5" t="inlineStr">
        <is>
          <t>руб./мес.</t>
        </is>
      </c>
      <c r="D23" s="4" t="inlineStr">
        <is>
          <t>hh Карьера / Finder, ориентир по Москве</t>
        </is>
      </c>
    </row>
    <row r="24" ht="22" customHeight="1">
      <c r="A24" s="4" t="inlineStr">
        <is>
          <t>Трудоемкость QA-специалиста</t>
        </is>
      </c>
      <c r="B24" s="5" t="n">
        <v>1</v>
      </c>
      <c r="C24" s="5" t="inlineStr">
        <is>
          <t>мес.</t>
        </is>
      </c>
      <c r="D24" s="4" t="inlineStr">
        <is>
          <t>Функциональное тестирование и приемка</t>
        </is>
      </c>
    </row>
    <row r="25" ht="22" customHeight="1">
      <c r="A25" s="4" t="inlineStr">
        <is>
          <t>Ставка системного администратора</t>
        </is>
      </c>
      <c r="B25" s="6" t="n">
        <v>112000</v>
      </c>
      <c r="C25" s="5" t="inlineStr">
        <is>
          <t>руб./мес.</t>
        </is>
      </c>
      <c r="D25" s="4" t="inlineStr">
        <is>
          <t>Хабр Карьера, ориентир по рынку IT</t>
        </is>
      </c>
    </row>
    <row r="26" ht="22" customHeight="1">
      <c r="A26" s="4" t="inlineStr">
        <is>
          <t>Доля ставки на сопровождение</t>
        </is>
      </c>
      <c r="B26" s="5" t="n">
        <v>0.25</v>
      </c>
      <c r="C26" s="5" t="inlineStr">
        <is>
          <t>ставки</t>
        </is>
      </c>
      <c r="D26" s="4" t="inlineStr">
        <is>
          <t>Консервативная оценка ежегодной поддержки</t>
        </is>
      </c>
    </row>
    <row r="27" ht="22" customHeight="1"/>
    <row r="28" ht="22" customHeight="1">
      <c r="A28" s="3" t="inlineStr">
        <is>
          <t>2. Расчет эффекта</t>
        </is>
      </c>
      <c r="B28" s="3" t="n"/>
      <c r="C28" s="3" t="n"/>
      <c r="D28" s="3" t="n"/>
    </row>
    <row r="29" ht="22" customHeight="1">
      <c r="A29" s="4" t="inlineStr">
        <is>
          <t>Комиссионные расходы без проекта</t>
        </is>
      </c>
      <c r="B29" s="7">
        <f>B7*B8*B10</f>
        <v/>
      </c>
      <c r="C29" s="5" t="inlineStr">
        <is>
          <t>руб.</t>
        </is>
      </c>
      <c r="D29" s="4" t="inlineStr">
        <is>
          <t>Выручка номерного фонда x доля канала x комиссия</t>
        </is>
      </c>
    </row>
    <row r="30" ht="22" customHeight="1">
      <c r="A30" s="4" t="inlineStr">
        <is>
          <t>Комиссионные расходы с проектом</t>
        </is>
      </c>
      <c r="B30" s="7">
        <f>B7*B9*B10</f>
        <v/>
      </c>
      <c r="C30" s="5" t="inlineStr">
        <is>
          <t>руб.</t>
        </is>
      </c>
      <c r="D30" s="4" t="inlineStr">
        <is>
          <t>После сокращения доли внешних каналов</t>
        </is>
      </c>
    </row>
    <row r="31" ht="22" customHeight="1">
      <c r="A31" s="4" t="inlineStr">
        <is>
          <t>Экономия на комиссиях</t>
        </is>
      </c>
      <c r="B31" s="7">
        <f>B29-B30</f>
        <v/>
      </c>
      <c r="C31" s="5" t="inlineStr">
        <is>
          <t>руб./год</t>
        </is>
      </c>
      <c r="D31" s="4" t="inlineStr">
        <is>
          <t>Прямой финансовый эффект по каналу продаж</t>
        </is>
      </c>
    </row>
    <row r="32" ht="22" customHeight="1">
      <c r="A32" s="4" t="inlineStr">
        <is>
          <t>Годовой ФОТ менеджеров с начислениями</t>
        </is>
      </c>
      <c r="B32" s="7">
        <f>B11*B12*12*(1+B14)</f>
        <v/>
      </c>
      <c r="C32" s="5" t="inlineStr">
        <is>
          <t>руб.</t>
        </is>
      </c>
      <c r="D32" s="4" t="inlineStr">
        <is>
          <t>Расчет фонда оплаты труда</t>
        </is>
      </c>
    </row>
    <row r="33" ht="22" customHeight="1">
      <c r="A33" s="4" t="inlineStr">
        <is>
          <t>Годовой ФОТ администратора с начислениями</t>
        </is>
      </c>
      <c r="B33" s="7">
        <f>B13*12*(1+B14)</f>
        <v/>
      </c>
      <c r="C33" s="5" t="inlineStr">
        <is>
          <t>руб.</t>
        </is>
      </c>
      <c r="D33" s="4" t="inlineStr">
        <is>
          <t>Расчет фонда оплаты труда</t>
        </is>
      </c>
    </row>
    <row r="34" ht="22" customHeight="1">
      <c r="A34" s="4" t="inlineStr">
        <is>
          <t>Экономия трудозатрат</t>
        </is>
      </c>
      <c r="B34" s="7">
        <f>B32*(B15-B16)+B33*(B17-B18)</f>
        <v/>
      </c>
      <c r="C34" s="5" t="inlineStr">
        <is>
          <t>руб./год</t>
        </is>
      </c>
      <c r="D34" s="4" t="inlineStr">
        <is>
          <t>Высвобождаемая стоимость рабочего времени</t>
        </is>
      </c>
    </row>
    <row r="35" ht="22" customHeight="1">
      <c r="A35" s="4" t="inlineStr">
        <is>
          <t>Единовременные инвестиции</t>
        </is>
      </c>
      <c r="B35" s="7">
        <f>B19*B20+B21*B22+B23*B24</f>
        <v/>
      </c>
      <c r="C35" s="5" t="inlineStr">
        <is>
          <t>руб.</t>
        </is>
      </c>
      <c r="D35" s="4" t="inlineStr">
        <is>
          <t>Проектная команда внедрения</t>
        </is>
      </c>
    </row>
    <row r="36" ht="22" customHeight="1">
      <c r="A36" s="4" t="inlineStr">
        <is>
          <t>Ежегодное сопровождение</t>
        </is>
      </c>
      <c r="B36" s="7">
        <f>B25*B26*12</f>
        <v/>
      </c>
      <c r="C36" s="5" t="inlineStr">
        <is>
          <t>руб./год</t>
        </is>
      </c>
      <c r="D36" s="4" t="inlineStr">
        <is>
          <t>0,25 ставки системного администратора</t>
        </is>
      </c>
    </row>
    <row r="37" ht="22" customHeight="1">
      <c r="A37" s="4" t="inlineStr">
        <is>
          <t>Чистый операционный эффект</t>
        </is>
      </c>
      <c r="B37" s="7">
        <f>B31+B34-B36</f>
        <v/>
      </c>
      <c r="C37" s="5" t="inlineStr">
        <is>
          <t>руб./год</t>
        </is>
      </c>
      <c r="D37" s="4" t="inlineStr">
        <is>
          <t>Комиссии + трудозатраты - сопровождение</t>
        </is>
      </c>
    </row>
    <row r="38" ht="22" customHeight="1">
      <c r="A38" s="4" t="inlineStr">
        <is>
          <t>Эффект первого года</t>
        </is>
      </c>
      <c r="B38" s="7">
        <f>B37-B35</f>
        <v/>
      </c>
      <c r="C38" s="5" t="inlineStr">
        <is>
          <t>руб.</t>
        </is>
      </c>
      <c r="D38" s="4" t="inlineStr">
        <is>
          <t>Чистый эффект минус инвестиции</t>
        </is>
      </c>
    </row>
    <row r="39" ht="22" customHeight="1">
      <c r="A39" s="4" t="inlineStr">
        <is>
          <t>ROI первого года</t>
        </is>
      </c>
      <c r="B39" s="9">
        <f>B38/B35</f>
        <v/>
      </c>
      <c r="C39" s="5" t="inlineStr">
        <is>
          <t>%</t>
        </is>
      </c>
      <c r="D39" s="4" t="inlineStr">
        <is>
          <t>Отношение эффекта первого года к инвестициям</t>
        </is>
      </c>
    </row>
    <row r="40" ht="22" customHeight="1">
      <c r="A40" s="4" t="inlineStr">
        <is>
          <t>Срок окупаемости</t>
        </is>
      </c>
      <c r="B40" s="10">
        <f>B35/B37*12</f>
        <v/>
      </c>
      <c r="C40" s="5" t="inlineStr">
        <is>
          <t>мес.</t>
        </is>
      </c>
      <c r="D40" s="4" t="inlineStr">
        <is>
          <t>Инвестиции / чистый операционный эффект</t>
        </is>
      </c>
    </row>
    <row r="41" ht="22" customHeight="1">
      <c r="A41" s="4" t="inlineStr">
        <is>
          <t>NPV за 4 года при 10%</t>
        </is>
      </c>
      <c r="B41" s="7">
        <f>NPV(0.10,B37,B37,B37,B37)-B35</f>
        <v/>
      </c>
      <c r="C41" s="5" t="inlineStr">
        <is>
          <t>руб.</t>
        </is>
      </c>
      <c r="D41" s="4" t="inlineStr">
        <is>
          <t>Чистый дисконтированный доход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2" t="inlineStr">
        <is>
          <t>№</t>
        </is>
      </c>
      <c r="B1" s="2" t="inlineStr">
        <is>
          <t>Источник</t>
        </is>
      </c>
    </row>
    <row r="2">
      <c r="A2" s="5" t="n">
        <v>1</v>
      </c>
      <c r="B2" s="4" t="inlineStr">
        <is>
          <t>Правительство Москвы. Сергей Собянин: Рекордные 26 миллионов туристов посетили Москву в 2024 году. https://www.mos.ru/mayor/themes/12440050/</t>
        </is>
      </c>
    </row>
    <row r="3">
      <c r="A3" s="5" t="n">
        <v>2</v>
      </c>
      <c r="B3" s="4" t="inlineStr">
        <is>
          <t>Welcome Moscow. Программа развития туризма Москвы до 2030 года. https://welcome.moscow/strategy/</t>
        </is>
      </c>
    </row>
    <row r="4">
      <c r="A4" s="5" t="n">
        <v>3</v>
      </c>
      <c r="B4" s="4" t="inlineStr">
        <is>
          <t>Nikoliers. Results 2024 | Russia | Moscow | Saint Petersburg | Hotels. https://nikoliers.com/analytics/results-2024-russia-saint-petersburg-hotels/</t>
        </is>
      </c>
    </row>
    <row r="5">
      <c r="A5" s="5" t="n">
        <v>4</v>
      </c>
      <c r="B5" s="4" t="inlineStr">
        <is>
          <t>Яндекс Путешествия. Обновлённые условия сотрудничества с отельерами и арендодателями. https://travel.yandex.ru/pro/komissiya-servisa/</t>
        </is>
      </c>
    </row>
    <row r="6">
      <c r="A6" s="5" t="n">
        <v>5</v>
      </c>
      <c r="B6" s="4" t="inlineStr">
        <is>
          <t>HeadHunter. Работа менеджером по бронированию гостиниц с полной занятостью в Москве. https://hh.ru/vacancies/menedzher_po_bronirovaniyu_gostinic/polnaya_zanyatost</t>
        </is>
      </c>
    </row>
    <row r="7">
      <c r="A7" s="5" t="n">
        <v>6</v>
      </c>
      <c r="B7" s="4" t="inlineStr">
        <is>
          <t>HeadHunter. Вакансия Администратор бронирования в Москве, Гостиница Байкал. https://hh.ru/vacancy/131548872</t>
        </is>
      </c>
    </row>
    <row r="8">
      <c r="A8" s="5" t="n">
        <v>7</v>
      </c>
      <c r="B8" s="4" t="inlineStr">
        <is>
          <t>Finder. Зарплата бэкенд-разработчика в Москве в 2026 году. https://finder.work/salaries/bekend_razrabotchik/moskva</t>
        </is>
      </c>
    </row>
    <row r="9">
      <c r="A9" s="5" t="n">
        <v>8</v>
      </c>
      <c r="B9" s="4" t="inlineStr">
        <is>
          <t>HeadHunter / hh Карьера. QA-инженер: обзор профессии и зарплат. https://hh.ru/article/skills_qa</t>
        </is>
      </c>
    </row>
    <row r="10">
      <c r="A10" s="5" t="n">
        <v>9</v>
      </c>
      <c r="B10" s="4" t="inlineStr">
        <is>
          <t>Хабр Карьера. Где в IT платят больше всего: часть 2. https://habr.com/ru/companies/habr_career/articles/1021404/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2026-04-17T22:53:41Z</dcterms:created>
  <dcterms:modified xsi:type="dcterms:W3CDTF">2026-04-17T22:53:41Z</dcterms:modified>
</cp:coreProperties>
</file>