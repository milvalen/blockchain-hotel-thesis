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vestment Efficiency" sheetId="1" state="visible" r:id="rId1"/>
  </sheets>
  <definedNames/>
  <calcPr calcId="191029" fullCalcOnLoad="1"/>
</workbook>
</file>

<file path=xl/styles.xml><?xml version="1.0" encoding="utf-8"?>
<styleSheet xmlns="http://schemas.openxmlformats.org/spreadsheetml/2006/main">
  <numFmts count="1">
    <numFmt numFmtId="164" formatCode="0.0"/>
  </numFmts>
  <fonts count="11">
    <font>
      <name val="Calibri"/>
      <charset val="204"/>
      <family val="2"/>
      <color theme="1"/>
      <sz val="11"/>
      <scheme val="minor"/>
    </font>
    <font>
      <name val="Calibri"/>
      <charset val="204"/>
      <family val="2"/>
      <color theme="1"/>
      <sz val="11"/>
      <scheme val="minor"/>
    </font>
    <font>
      <name val="Calibri"/>
      <charset val="204"/>
      <family val="2"/>
      <b val="1"/>
      <color theme="1"/>
      <sz val="11"/>
      <scheme val="minor"/>
    </font>
    <font>
      <name val="Calibri"/>
      <charset val="204"/>
      <family val="2"/>
      <color rgb="FFFF0000"/>
      <sz val="11"/>
      <scheme val="minor"/>
    </font>
    <font>
      <name val="Calibri"/>
      <charset val="204"/>
      <family val="2"/>
      <i val="1"/>
      <color theme="1"/>
      <sz val="11"/>
      <scheme val="minor"/>
    </font>
    <font>
      <name val="Calibri"/>
      <charset val="204"/>
      <family val="2"/>
      <i val="1"/>
      <color theme="0" tint="-0.499984740745262"/>
      <sz val="11"/>
      <scheme val="minor"/>
    </font>
    <font>
      <name val="Calibri"/>
      <charset val="204"/>
      <family val="2"/>
      <sz val="8"/>
      <scheme val="minor"/>
    </font>
    <font>
      <name val="Angsana New"/>
      <charset val="222"/>
      <family val="1"/>
      <color theme="1"/>
      <sz val="11"/>
    </font>
    <font>
      <name val="Calibri"/>
      <charset val="204"/>
      <family val="2"/>
      <b val="1"/>
      <color theme="1"/>
      <sz val="11"/>
      <u val="single"/>
      <scheme val="minor"/>
    </font>
    <font>
      <name val="Calibri"/>
      <charset val="204"/>
      <family val="2"/>
      <b val="1"/>
      <color theme="1"/>
      <sz val="16"/>
      <scheme val="minor"/>
    </font>
    <font>
      <name val="Calibri"/>
      <charset val="204"/>
      <family val="2"/>
      <color theme="1"/>
      <sz val="16"/>
      <scheme val="minor"/>
    </font>
  </fonts>
  <fills count="12">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9" tint="0.5999938962981048"/>
        <bgColor indexed="64"/>
      </patternFill>
    </fill>
    <fill>
      <patternFill patternType="solid">
        <fgColor theme="8" tint="0.5999938962981048"/>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2">
    <xf numFmtId="0" fontId="1" fillId="0" borderId="0"/>
    <xf numFmtId="9" fontId="1" fillId="0" borderId="0"/>
  </cellStyleXfs>
  <cellXfs count="197">
    <xf numFmtId="0" fontId="0" fillId="0" borderId="0" pivotButton="0" quotePrefix="0" xfId="0"/>
    <xf numFmtId="3" fontId="3" fillId="2" borderId="0" applyAlignment="1" pivotButton="0" quotePrefix="0" xfId="0">
      <alignment horizontal="center"/>
    </xf>
    <xf numFmtId="9" fontId="3" fillId="2" borderId="0" applyAlignment="1" pivotButton="0" quotePrefix="0" xfId="1">
      <alignment horizontal="center"/>
    </xf>
    <xf numFmtId="0" fontId="0" fillId="3" borderId="0" pivotButton="0" quotePrefix="0" xfId="0"/>
    <xf numFmtId="0" fontId="0" fillId="3" borderId="3" pivotButton="0" quotePrefix="0" xfId="0"/>
    <xf numFmtId="9" fontId="3" fillId="2" borderId="2" applyAlignment="1" pivotButton="0" quotePrefix="0" xfId="1">
      <alignment horizontal="center"/>
    </xf>
    <xf numFmtId="0" fontId="2" fillId="5" borderId="0" pivotButton="0" quotePrefix="0" xfId="0"/>
    <xf numFmtId="0" fontId="0" fillId="5" borderId="0" pivotButton="0" quotePrefix="0" xfId="0"/>
    <xf numFmtId="0" fontId="0" fillId="5" borderId="2" pivotButton="0" quotePrefix="0" xfId="0"/>
    <xf numFmtId="3" fontId="2" fillId="5" borderId="2" applyAlignment="1" pivotButton="0" quotePrefix="0" xfId="0">
      <alignment horizontal="center"/>
    </xf>
    <xf numFmtId="3" fontId="3" fillId="5" borderId="2" applyAlignment="1" pivotButton="0" quotePrefix="0" xfId="0">
      <alignment horizontal="center"/>
    </xf>
    <xf numFmtId="3" fontId="0" fillId="5" borderId="0" pivotButton="0" quotePrefix="0" xfId="0"/>
    <xf numFmtId="9" fontId="3" fillId="5" borderId="2" applyAlignment="1" pivotButton="0" quotePrefix="0" xfId="1">
      <alignment horizontal="center"/>
    </xf>
    <xf numFmtId="0" fontId="5" fillId="5" borderId="0" pivotButton="0" quotePrefix="0" xfId="0"/>
    <xf numFmtId="164" fontId="3" fillId="5" borderId="2" applyAlignment="1" pivotButton="0" quotePrefix="0" xfId="0">
      <alignment horizontal="center"/>
    </xf>
    <xf numFmtId="0" fontId="2" fillId="5" borderId="3" pivotButton="0" quotePrefix="0" xfId="0"/>
    <xf numFmtId="0" fontId="0" fillId="5" borderId="3" pivotButton="0" quotePrefix="0" xfId="0"/>
    <xf numFmtId="0" fontId="0" fillId="6" borderId="0" pivotButton="0" quotePrefix="0" xfId="0"/>
    <xf numFmtId="0" fontId="2" fillId="6" borderId="0" pivotButton="0" quotePrefix="0" xfId="0"/>
    <xf numFmtId="0" fontId="0" fillId="6" borderId="0" applyAlignment="1" pivotButton="0" quotePrefix="0" xfId="0">
      <alignment horizontal="center"/>
    </xf>
    <xf numFmtId="9" fontId="2" fillId="6" borderId="0" applyAlignment="1" pivotButton="0" quotePrefix="0" xfId="1">
      <alignment horizontal="center"/>
    </xf>
    <xf numFmtId="3" fontId="0" fillId="6" borderId="0" applyAlignment="1" pivotButton="0" quotePrefix="0" xfId="0">
      <alignment horizontal="center"/>
    </xf>
    <xf numFmtId="0" fontId="0" fillId="7" borderId="0" pivotButton="0" quotePrefix="0" xfId="0"/>
    <xf numFmtId="3" fontId="0" fillId="7" borderId="0" applyAlignment="1" pivotButton="0" quotePrefix="0" xfId="0">
      <alignment horizontal="center"/>
    </xf>
    <xf numFmtId="0" fontId="2" fillId="7" borderId="0" pivotButton="0" quotePrefix="0" xfId="0"/>
    <xf numFmtId="3" fontId="2" fillId="7" borderId="0" applyAlignment="1" pivotButton="0" quotePrefix="0" xfId="0">
      <alignment horizontal="center"/>
    </xf>
    <xf numFmtId="0" fontId="0" fillId="7" borderId="2" pivotButton="0" quotePrefix="0" xfId="0"/>
    <xf numFmtId="3" fontId="0" fillId="7" borderId="2" applyAlignment="1" pivotButton="0" quotePrefix="0" xfId="0">
      <alignment horizontal="center"/>
    </xf>
    <xf numFmtId="0" fontId="0" fillId="7" borderId="2" applyAlignment="1" pivotButton="0" quotePrefix="0" xfId="0">
      <alignment horizontal="center"/>
    </xf>
    <xf numFmtId="3" fontId="2" fillId="7" borderId="2" applyAlignment="1" pivotButton="0" quotePrefix="0" xfId="0">
      <alignment horizontal="center"/>
    </xf>
    <xf numFmtId="0" fontId="2" fillId="7" borderId="2" applyAlignment="1" pivotButton="0" quotePrefix="0" xfId="0">
      <alignment horizontal="center"/>
    </xf>
    <xf numFmtId="3" fontId="3" fillId="7" borderId="2" applyAlignment="1" pivotButton="0" quotePrefix="0" xfId="0">
      <alignment horizontal="center"/>
    </xf>
    <xf numFmtId="1" fontId="3" fillId="7" borderId="2" applyAlignment="1" pivotButton="0" quotePrefix="0" xfId="0">
      <alignment horizontal="center"/>
    </xf>
    <xf numFmtId="3" fontId="3" fillId="7" borderId="0" applyAlignment="1" pivotButton="0" quotePrefix="0" xfId="0">
      <alignment horizontal="center"/>
    </xf>
    <xf numFmtId="1" fontId="3" fillId="7" borderId="0" applyAlignment="1" pivotButton="0" quotePrefix="0" xfId="0">
      <alignment horizontal="center"/>
    </xf>
    <xf numFmtId="0" fontId="0" fillId="7" borderId="1" pivotButton="0" quotePrefix="0" xfId="0"/>
    <xf numFmtId="3" fontId="0" fillId="7" borderId="1" applyAlignment="1" pivotButton="0" quotePrefix="0" xfId="0">
      <alignment horizontal="center"/>
    </xf>
    <xf numFmtId="0" fontId="5" fillId="7" borderId="0" pivotButton="0" quotePrefix="0" xfId="0"/>
    <xf numFmtId="0" fontId="0" fillId="7" borderId="3" pivotButton="0" quotePrefix="0" xfId="0"/>
    <xf numFmtId="3" fontId="0" fillId="7" borderId="3" applyAlignment="1" pivotButton="0" quotePrefix="0" xfId="0">
      <alignment horizontal="center"/>
    </xf>
    <xf numFmtId="0" fontId="0" fillId="6" borderId="3" pivotButton="0" quotePrefix="0" xfId="0"/>
    <xf numFmtId="0" fontId="2" fillId="8" borderId="0" pivotButton="0" quotePrefix="0" xfId="0"/>
    <xf numFmtId="3" fontId="0" fillId="8" borderId="0" applyAlignment="1" pivotButton="0" quotePrefix="0" xfId="0">
      <alignment horizontal="center"/>
    </xf>
    <xf numFmtId="0" fontId="0" fillId="8" borderId="0" pivotButton="0" quotePrefix="0" xfId="0"/>
    <xf numFmtId="0" fontId="0" fillId="8" borderId="3" pivotButton="0" quotePrefix="0" xfId="0"/>
    <xf numFmtId="3" fontId="2" fillId="8" borderId="0" applyAlignment="1" pivotButton="0" quotePrefix="0" xfId="0">
      <alignment horizontal="center"/>
    </xf>
    <xf numFmtId="0" fontId="0" fillId="8" borderId="2" pivotButton="0" quotePrefix="0" xfId="0"/>
    <xf numFmtId="3" fontId="0" fillId="8" borderId="2" applyAlignment="1" pivotButton="0" quotePrefix="0" xfId="0">
      <alignment horizontal="center"/>
    </xf>
    <xf numFmtId="0" fontId="0" fillId="8" borderId="2" applyAlignment="1" pivotButton="0" quotePrefix="0" xfId="0">
      <alignment horizontal="center"/>
    </xf>
    <xf numFmtId="3" fontId="2" fillId="8" borderId="2" applyAlignment="1" pivotButton="0" quotePrefix="0" xfId="0">
      <alignment horizontal="center"/>
    </xf>
    <xf numFmtId="0" fontId="2" fillId="8" borderId="2" applyAlignment="1" pivotButton="0" quotePrefix="0" xfId="0">
      <alignment horizontal="center"/>
    </xf>
    <xf numFmtId="3" fontId="3" fillId="8" borderId="2" applyAlignment="1" pivotButton="0" quotePrefix="0" xfId="0">
      <alignment horizontal="center"/>
    </xf>
    <xf numFmtId="1" fontId="3" fillId="8" borderId="2" applyAlignment="1" pivotButton="0" quotePrefix="0" xfId="0">
      <alignment horizontal="center"/>
    </xf>
    <xf numFmtId="0" fontId="3" fillId="8" borderId="2" applyAlignment="1" pivotButton="0" quotePrefix="0" xfId="0">
      <alignment horizontal="center"/>
    </xf>
    <xf numFmtId="1" fontId="3" fillId="8" borderId="0" applyAlignment="1" pivotButton="0" quotePrefix="0" xfId="0">
      <alignment horizontal="center"/>
    </xf>
    <xf numFmtId="3" fontId="3" fillId="8" borderId="0" applyAlignment="1" pivotButton="0" quotePrefix="0" xfId="0">
      <alignment horizontal="center"/>
    </xf>
    <xf numFmtId="0" fontId="5" fillId="8" borderId="0" pivotButton="0" quotePrefix="0" xfId="0"/>
    <xf numFmtId="3" fontId="0" fillId="8" borderId="0" applyAlignment="1" pivotButton="0" quotePrefix="0" xfId="0">
      <alignment horizontal="right"/>
    </xf>
    <xf numFmtId="0" fontId="0" fillId="9" borderId="3" pivotButton="0" quotePrefix="0" xfId="0"/>
    <xf numFmtId="0" fontId="2" fillId="9" borderId="0" pivotButton="0" quotePrefix="0" xfId="0"/>
    <xf numFmtId="0" fontId="0" fillId="9" borderId="0" pivotButton="0" quotePrefix="0" xfId="0"/>
    <xf numFmtId="0" fontId="0" fillId="9" borderId="0" applyAlignment="1" pivotButton="0" quotePrefix="0" xfId="0">
      <alignment horizontal="center"/>
    </xf>
    <xf numFmtId="0" fontId="2" fillId="9" borderId="0" applyAlignment="1" pivotButton="0" quotePrefix="0" xfId="0">
      <alignment horizontal="center"/>
    </xf>
    <xf numFmtId="9" fontId="2" fillId="9" borderId="0" applyAlignment="1" pivotButton="0" quotePrefix="0" xfId="1">
      <alignment horizontal="center"/>
    </xf>
    <xf numFmtId="0" fontId="3" fillId="9" borderId="0" applyAlignment="1" pivotButton="0" quotePrefix="0" xfId="0">
      <alignment horizontal="center"/>
    </xf>
    <xf numFmtId="3" fontId="3" fillId="9" borderId="0" applyAlignment="1" pivotButton="0" quotePrefix="0" xfId="0">
      <alignment horizontal="center"/>
    </xf>
    <xf numFmtId="3" fontId="0" fillId="9" borderId="0" applyAlignment="1" pivotButton="0" quotePrefix="0" xfId="0">
      <alignment horizontal="left"/>
    </xf>
    <xf numFmtId="3" fontId="0" fillId="9" borderId="0" applyAlignment="1" pivotButton="0" quotePrefix="0" xfId="0">
      <alignment horizontal="center"/>
    </xf>
    <xf numFmtId="1" fontId="3" fillId="2" borderId="0" applyAlignment="1" pivotButton="0" quotePrefix="0" xfId="0">
      <alignment horizontal="center"/>
    </xf>
    <xf numFmtId="3" fontId="5" fillId="8" borderId="0" applyAlignment="1" pivotButton="0" quotePrefix="0" xfId="0">
      <alignment horizontal="left"/>
    </xf>
    <xf numFmtId="3" fontId="0" fillId="6" borderId="3" applyAlignment="1" pivotButton="0" quotePrefix="0" xfId="0">
      <alignment horizontal="center"/>
    </xf>
    <xf numFmtId="0" fontId="0" fillId="6" borderId="2" pivotButton="0" quotePrefix="0" xfId="0"/>
    <xf numFmtId="0" fontId="0" fillId="6" borderId="2" applyAlignment="1" pivotButton="0" quotePrefix="0" xfId="0">
      <alignment horizontal="center"/>
    </xf>
    <xf numFmtId="3" fontId="0" fillId="6" borderId="2" applyAlignment="1" pivotButton="0" quotePrefix="0" xfId="0">
      <alignment horizontal="center"/>
    </xf>
    <xf numFmtId="3" fontId="2" fillId="6" borderId="2" applyAlignment="1" pivotButton="0" quotePrefix="0" xfId="0">
      <alignment horizontal="center"/>
    </xf>
    <xf numFmtId="0" fontId="2" fillId="6" borderId="2" applyAlignment="1" pivotButton="0" quotePrefix="0" xfId="0">
      <alignment horizontal="center"/>
    </xf>
    <xf numFmtId="3" fontId="3" fillId="6" borderId="2" applyAlignment="1" pivotButton="0" quotePrefix="0" xfId="0">
      <alignment horizontal="center"/>
    </xf>
    <xf numFmtId="1" fontId="3" fillId="6" borderId="2" applyAlignment="1" pivotButton="0" quotePrefix="0" xfId="0">
      <alignment horizontal="center"/>
    </xf>
    <xf numFmtId="9" fontId="3" fillId="6" borderId="2" applyAlignment="1" pivotButton="0" quotePrefix="0" xfId="1">
      <alignment horizontal="center"/>
    </xf>
    <xf numFmtId="0" fontId="5" fillId="6" borderId="0" pivotButton="0" quotePrefix="0" xfId="0"/>
    <xf numFmtId="0" fontId="0" fillId="6" borderId="0" applyAlignment="1" pivotButton="0" quotePrefix="0" xfId="0">
      <alignment horizontal="right"/>
    </xf>
    <xf numFmtId="9" fontId="0" fillId="6" borderId="0" applyAlignment="1" pivotButton="0" quotePrefix="0" xfId="1">
      <alignment horizontal="center"/>
    </xf>
    <xf numFmtId="9" fontId="3" fillId="6" borderId="0" applyAlignment="1" pivotButton="0" quotePrefix="0" xfId="1">
      <alignment horizontal="center"/>
    </xf>
    <xf numFmtId="0" fontId="0" fillId="6" borderId="0" applyAlignment="1" pivotButton="0" quotePrefix="0" xfId="0">
      <alignment horizontal="left"/>
    </xf>
    <xf numFmtId="164" fontId="3" fillId="6" borderId="0" applyAlignment="1" pivotButton="0" quotePrefix="0" xfId="0">
      <alignment horizontal="center"/>
    </xf>
    <xf numFmtId="0" fontId="9" fillId="8" borderId="0" pivotButton="0" quotePrefix="0" xfId="0"/>
    <xf numFmtId="0" fontId="9" fillId="5" borderId="0" pivotButton="0" quotePrefix="0" xfId="0"/>
    <xf numFmtId="0" fontId="9" fillId="9" borderId="0" pivotButton="0" quotePrefix="0" xfId="0"/>
    <xf numFmtId="0" fontId="9" fillId="7" borderId="0" pivotButton="0" quotePrefix="0" xfId="0"/>
    <xf numFmtId="0" fontId="9" fillId="6" borderId="0" pivotButton="0" quotePrefix="0" xfId="0"/>
    <xf numFmtId="0" fontId="0" fillId="10" borderId="3" pivotButton="0" quotePrefix="0" xfId="0"/>
    <xf numFmtId="0" fontId="9" fillId="10" borderId="0" pivotButton="0" quotePrefix="0" xfId="0"/>
    <xf numFmtId="0" fontId="0" fillId="10" borderId="0" pivotButton="0" quotePrefix="0" xfId="0"/>
    <xf numFmtId="0" fontId="2" fillId="10" borderId="0" pivotButton="0" quotePrefix="0" xfId="0"/>
    <xf numFmtId="0" fontId="0" fillId="10" borderId="2" pivotButton="0" quotePrefix="0" xfId="0"/>
    <xf numFmtId="0" fontId="0" fillId="10" borderId="2" applyAlignment="1" pivotButton="0" quotePrefix="0" xfId="0">
      <alignment horizontal="center"/>
    </xf>
    <xf numFmtId="3" fontId="0" fillId="10" borderId="2" applyAlignment="1" pivotButton="0" quotePrefix="0" xfId="0">
      <alignment horizontal="center"/>
    </xf>
    <xf numFmtId="3" fontId="2" fillId="10" borderId="2" applyAlignment="1" pivotButton="0" quotePrefix="0" xfId="0">
      <alignment horizontal="center"/>
    </xf>
    <xf numFmtId="0" fontId="2" fillId="10" borderId="2" applyAlignment="1" pivotButton="0" quotePrefix="0" xfId="0">
      <alignment horizontal="center"/>
    </xf>
    <xf numFmtId="3" fontId="3" fillId="10" borderId="2" applyAlignment="1" pivotButton="0" quotePrefix="0" xfId="0">
      <alignment horizontal="center"/>
    </xf>
    <xf numFmtId="1" fontId="3" fillId="10" borderId="2" applyAlignment="1" pivotButton="0" quotePrefix="0" xfId="0">
      <alignment horizontal="center"/>
    </xf>
    <xf numFmtId="9" fontId="3" fillId="10" borderId="2" applyAlignment="1" pivotButton="0" quotePrefix="0" xfId="1">
      <alignment horizontal="center"/>
    </xf>
    <xf numFmtId="0" fontId="0" fillId="10" borderId="0" applyAlignment="1" pivotButton="0" quotePrefix="0" xfId="0">
      <alignment horizontal="right"/>
    </xf>
    <xf numFmtId="9" fontId="3" fillId="10" borderId="0" applyAlignment="1" pivotButton="0" quotePrefix="0" xfId="1">
      <alignment horizontal="center"/>
    </xf>
    <xf numFmtId="9" fontId="3" fillId="10" borderId="2" applyAlignment="1" pivotButton="0" quotePrefix="0" xfId="0">
      <alignment horizontal="center"/>
    </xf>
    <xf numFmtId="0" fontId="2" fillId="10" borderId="0" applyAlignment="1" pivotButton="0" quotePrefix="0" xfId="0">
      <alignment horizontal="center"/>
    </xf>
    <xf numFmtId="9" fontId="2" fillId="10" borderId="0" applyAlignment="1" pivotButton="0" quotePrefix="0" xfId="1">
      <alignment horizontal="center"/>
    </xf>
    <xf numFmtId="164" fontId="3" fillId="10" borderId="0" applyAlignment="1" pivotButton="0" quotePrefix="0" xfId="0">
      <alignment horizontal="center"/>
    </xf>
    <xf numFmtId="9" fontId="2" fillId="10" borderId="0" applyAlignment="1" pivotButton="0" quotePrefix="0" xfId="0">
      <alignment horizontal="center"/>
    </xf>
    <xf numFmtId="3" fontId="3" fillId="10" borderId="0" applyAlignment="1" pivotButton="0" quotePrefix="0" xfId="0">
      <alignment horizontal="center"/>
    </xf>
    <xf numFmtId="0" fontId="5" fillId="10" borderId="0" pivotButton="0" quotePrefix="0" xfId="0"/>
    <xf numFmtId="1" fontId="3" fillId="10" borderId="0" applyAlignment="1" pivotButton="0" quotePrefix="0" xfId="0">
      <alignment horizontal="center"/>
    </xf>
    <xf numFmtId="1" fontId="0" fillId="10" borderId="0" applyAlignment="1" pivotButton="0" quotePrefix="0" xfId="0">
      <alignment horizontal="center"/>
    </xf>
    <xf numFmtId="3" fontId="0" fillId="10" borderId="0" applyAlignment="1" pivotButton="0" quotePrefix="0" xfId="0">
      <alignment horizontal="center"/>
    </xf>
    <xf numFmtId="0" fontId="0" fillId="4" borderId="3" pivotButton="0" quotePrefix="0" xfId="0"/>
    <xf numFmtId="0" fontId="0" fillId="4" borderId="3" applyAlignment="1" pivotButton="0" quotePrefix="0" xfId="0">
      <alignment horizontal="right"/>
    </xf>
    <xf numFmtId="3" fontId="0" fillId="4" borderId="3" applyAlignment="1" pivotButton="0" quotePrefix="0" xfId="0">
      <alignment horizontal="center"/>
    </xf>
    <xf numFmtId="0" fontId="9" fillId="4" borderId="0" pivotButton="0" quotePrefix="0" xfId="0"/>
    <xf numFmtId="0" fontId="0" fillId="4" borderId="0" pivotButton="0" quotePrefix="0" xfId="0"/>
    <xf numFmtId="0" fontId="2" fillId="4" borderId="2" pivotButton="0" quotePrefix="0" xfId="0"/>
    <xf numFmtId="0" fontId="0" fillId="4" borderId="2" pivotButton="0" quotePrefix="0" xfId="0"/>
    <xf numFmtId="0" fontId="2" fillId="4" borderId="0" pivotButton="0" quotePrefix="0" xfId="0"/>
    <xf numFmtId="0" fontId="2" fillId="4" borderId="2" applyAlignment="1" pivotButton="0" quotePrefix="0" xfId="0">
      <alignment horizontal="center"/>
    </xf>
    <xf numFmtId="0" fontId="0" fillId="4" borderId="2" applyAlignment="1" pivotButton="0" quotePrefix="0" xfId="0">
      <alignment horizontal="right"/>
    </xf>
    <xf numFmtId="0" fontId="3" fillId="4" borderId="2" applyAlignment="1" pivotButton="0" quotePrefix="0" xfId="0">
      <alignment horizontal="center"/>
    </xf>
    <xf numFmtId="0" fontId="2" fillId="4" borderId="0" applyAlignment="1" pivotButton="0" quotePrefix="0" xfId="0">
      <alignment horizontal="center"/>
    </xf>
    <xf numFmtId="1" fontId="3" fillId="4" borderId="0" applyAlignment="1" pivotButton="0" quotePrefix="0" xfId="0">
      <alignment horizontal="center"/>
    </xf>
    <xf numFmtId="0" fontId="0" fillId="8" borderId="0" applyAlignment="1" pivotButton="0" quotePrefix="0" xfId="0">
      <alignment horizontal="right"/>
    </xf>
    <xf numFmtId="0" fontId="0" fillId="8" borderId="0" applyAlignment="1" pivotButton="0" quotePrefix="0" xfId="0">
      <alignment horizontal="center"/>
    </xf>
    <xf numFmtId="0" fontId="3" fillId="8" borderId="0" applyAlignment="1" pivotButton="0" quotePrefix="0" xfId="0">
      <alignment horizontal="center"/>
    </xf>
    <xf numFmtId="0" fontId="2" fillId="8" borderId="0" applyAlignment="1" pivotButton="0" quotePrefix="0" xfId="0">
      <alignment horizontal="center"/>
    </xf>
    <xf numFmtId="0" fontId="0" fillId="8" borderId="0" applyAlignment="1" pivotButton="0" quotePrefix="0" xfId="0">
      <alignment horizontal="left"/>
    </xf>
    <xf numFmtId="9" fontId="3" fillId="8" borderId="2" applyAlignment="1" pivotButton="0" quotePrefix="0" xfId="1">
      <alignment horizontal="center"/>
    </xf>
    <xf numFmtId="164" fontId="3" fillId="8" borderId="2" applyAlignment="1" pivotButton="0" quotePrefix="0" xfId="0">
      <alignment horizontal="center"/>
    </xf>
    <xf numFmtId="9" fontId="2" fillId="8" borderId="0" applyAlignment="1" pivotButton="0" quotePrefix="0" xfId="1">
      <alignment horizontal="center"/>
    </xf>
    <xf numFmtId="3" fontId="3" fillId="8" borderId="2" applyAlignment="1" pivotButton="0" quotePrefix="0" xfId="1">
      <alignment horizontal="center"/>
    </xf>
    <xf numFmtId="1" fontId="2" fillId="6" borderId="0" applyAlignment="1" pivotButton="0" quotePrefix="0" xfId="0">
      <alignment horizontal="center"/>
    </xf>
    <xf numFmtId="10" fontId="3" fillId="6" borderId="2" applyAlignment="1" pivotButton="0" quotePrefix="0" xfId="0">
      <alignment horizontal="center"/>
    </xf>
    <xf numFmtId="10" fontId="3" fillId="6" borderId="2" applyAlignment="1" pivotButton="0" quotePrefix="0" xfId="1">
      <alignment horizontal="center"/>
    </xf>
    <xf numFmtId="0" fontId="0" fillId="11" borderId="3" pivotButton="0" quotePrefix="0" xfId="0"/>
    <xf numFmtId="0" fontId="9" fillId="11" borderId="0" pivotButton="0" quotePrefix="0" xfId="0"/>
    <xf numFmtId="0" fontId="0" fillId="11" borderId="0" pivotButton="0" quotePrefix="0" xfId="0"/>
    <xf numFmtId="0" fontId="2" fillId="11" borderId="0" pivotButton="0" quotePrefix="0" xfId="0"/>
    <xf numFmtId="0" fontId="2" fillId="11" borderId="0" applyAlignment="1" pivotButton="0" quotePrefix="0" xfId="0">
      <alignment horizontal="center"/>
    </xf>
    <xf numFmtId="9" fontId="3" fillId="11" borderId="0" applyAlignment="1" pivotButton="0" quotePrefix="0" xfId="1">
      <alignment horizontal="center"/>
    </xf>
    <xf numFmtId="9" fontId="2" fillId="11" borderId="0" applyAlignment="1" pivotButton="0" quotePrefix="0" xfId="0">
      <alignment horizontal="center"/>
    </xf>
    <xf numFmtId="9" fontId="3" fillId="11" borderId="0" applyAlignment="1" pivotButton="0" quotePrefix="0" xfId="0">
      <alignment horizontal="center"/>
    </xf>
    <xf numFmtId="0" fontId="5" fillId="11" borderId="0" pivotButton="0" quotePrefix="0" xfId="0"/>
    <xf numFmtId="3" fontId="0" fillId="11" borderId="0" applyAlignment="1" pivotButton="0" quotePrefix="0" xfId="0">
      <alignment horizontal="center"/>
    </xf>
    <xf numFmtId="9" fontId="0" fillId="11" borderId="0" applyAlignment="1" pivotButton="0" quotePrefix="0" xfId="1">
      <alignment horizontal="center"/>
    </xf>
    <xf numFmtId="3" fontId="3" fillId="11" borderId="0" applyAlignment="1" pivotButton="0" quotePrefix="0" xfId="0">
      <alignment horizontal="center"/>
    </xf>
    <xf numFmtId="0" fontId="0" fillId="11" borderId="2" pivotButton="0" quotePrefix="0" xfId="0"/>
    <xf numFmtId="0" fontId="0" fillId="11" borderId="2" applyAlignment="1" pivotButton="0" quotePrefix="0" xfId="0">
      <alignment horizontal="center"/>
    </xf>
    <xf numFmtId="3" fontId="0" fillId="11" borderId="2" applyAlignment="1" pivotButton="0" quotePrefix="0" xfId="0">
      <alignment horizontal="center"/>
    </xf>
    <xf numFmtId="3" fontId="2" fillId="11" borderId="2" applyAlignment="1" pivotButton="0" quotePrefix="0" xfId="0">
      <alignment horizontal="center"/>
    </xf>
    <xf numFmtId="0" fontId="2" fillId="11" borderId="2" applyAlignment="1" pivotButton="0" quotePrefix="0" xfId="0">
      <alignment horizontal="center"/>
    </xf>
    <xf numFmtId="3" fontId="3" fillId="11" borderId="2" applyAlignment="1" pivotButton="0" quotePrefix="0" xfId="0">
      <alignment horizontal="center"/>
    </xf>
    <xf numFmtId="1" fontId="3" fillId="11" borderId="2" applyAlignment="1" pivotButton="0" quotePrefix="0" xfId="0">
      <alignment horizontal="center"/>
    </xf>
    <xf numFmtId="1" fontId="3" fillId="11" borderId="7" applyAlignment="1" pivotButton="0" quotePrefix="0" xfId="0">
      <alignment horizontal="center"/>
    </xf>
    <xf numFmtId="9" fontId="3" fillId="11" borderId="2" applyAlignment="1" pivotButton="0" quotePrefix="0" xfId="1">
      <alignment horizontal="center"/>
    </xf>
    <xf numFmtId="0" fontId="5" fillId="11" borderId="0" applyAlignment="1" pivotButton="0" quotePrefix="0" xfId="0">
      <alignment horizontal="center"/>
    </xf>
    <xf numFmtId="9" fontId="3" fillId="11" borderId="0" applyAlignment="1" pivotButton="0" quotePrefix="0" xfId="1">
      <alignment horizontal="center"/>
    </xf>
    <xf numFmtId="10" fontId="3" fillId="11" borderId="2" applyAlignment="1" pivotButton="0" quotePrefix="0" xfId="1">
      <alignment horizontal="center"/>
    </xf>
    <xf numFmtId="10" fontId="3" fillId="11" borderId="2" applyAlignment="1" pivotButton="0" quotePrefix="0" xfId="0">
      <alignment horizontal="center"/>
    </xf>
    <xf numFmtId="1" fontId="2" fillId="11" borderId="0" applyAlignment="1" pivotButton="0" quotePrefix="0" xfId="0">
      <alignment horizontal="center"/>
    </xf>
    <xf numFmtId="3" fontId="3" fillId="11" borderId="0" applyAlignment="1" pivotButton="0" quotePrefix="0" xfId="1">
      <alignment horizontal="center"/>
    </xf>
    <xf numFmtId="9" fontId="3" fillId="2" borderId="8" applyAlignment="1" pivotButton="0" quotePrefix="0" xfId="1">
      <alignment horizontal="center"/>
    </xf>
    <xf numFmtId="0" fontId="0" fillId="8" borderId="2" applyAlignment="1" pivotButton="0" quotePrefix="0" xfId="0">
      <alignment horizontal="left"/>
    </xf>
    <xf numFmtId="0" fontId="0" fillId="8" borderId="4" applyAlignment="1" pivotButton="0" quotePrefix="0" xfId="0">
      <alignment horizontal="left"/>
    </xf>
    <xf numFmtId="0" fontId="0" fillId="8" borderId="5" applyAlignment="1" pivotButton="0" quotePrefix="0" xfId="0">
      <alignment horizontal="left"/>
    </xf>
    <xf numFmtId="0" fontId="0" fillId="8" borderId="6" applyAlignment="1" pivotButton="0" quotePrefix="0" xfId="0">
      <alignment horizontal="left"/>
    </xf>
    <xf numFmtId="0" fontId="2" fillId="5" borderId="4" applyAlignment="1" pivotButton="0" quotePrefix="0" xfId="0">
      <alignment horizontal="left"/>
    </xf>
    <xf numFmtId="0" fontId="2" fillId="5" borderId="6" applyAlignment="1" pivotButton="0" quotePrefix="0" xfId="0">
      <alignment horizontal="left"/>
    </xf>
    <xf numFmtId="0" fontId="0" fillId="3" borderId="2" applyAlignment="1" pivotButton="0" quotePrefix="0" xfId="0">
      <alignment horizontal="left"/>
    </xf>
    <xf numFmtId="0" fontId="2" fillId="3" borderId="2" applyAlignment="1" pivotButton="0" quotePrefix="0" xfId="0">
      <alignment horizontal="left"/>
    </xf>
    <xf numFmtId="0" fontId="0" fillId="2" borderId="2" applyAlignment="1" pivotButton="0" quotePrefix="0" xfId="0">
      <alignment horizontal="left"/>
    </xf>
    <xf numFmtId="0" fontId="0" fillId="10" borderId="2" applyAlignment="1" pivotButton="0" quotePrefix="0" xfId="0">
      <alignment horizontal="center"/>
    </xf>
    <xf numFmtId="3" fontId="0" fillId="6" borderId="4" applyAlignment="1" pivotButton="0" quotePrefix="0" xfId="0">
      <alignment horizontal="center"/>
    </xf>
    <xf numFmtId="3" fontId="0" fillId="6" borderId="5" applyAlignment="1" pivotButton="0" quotePrefix="0" xfId="0">
      <alignment horizontal="center"/>
    </xf>
    <xf numFmtId="3" fontId="0" fillId="6" borderId="6" applyAlignment="1" pivotButton="0" quotePrefix="0" xfId="0">
      <alignment horizontal="center"/>
    </xf>
    <xf numFmtId="3" fontId="0" fillId="10" borderId="4" applyAlignment="1" pivotButton="0" quotePrefix="0" xfId="0">
      <alignment horizontal="center"/>
    </xf>
    <xf numFmtId="3" fontId="0" fillId="10" borderId="5" applyAlignment="1" pivotButton="0" quotePrefix="0" xfId="0">
      <alignment horizontal="center"/>
    </xf>
    <xf numFmtId="3" fontId="0" fillId="10" borderId="6" applyAlignment="1" pivotButton="0" quotePrefix="0" xfId="0">
      <alignment horizontal="center"/>
    </xf>
    <xf numFmtId="0" fontId="7" fillId="4" borderId="2" applyAlignment="1" pivotButton="0" quotePrefix="0" xfId="0">
      <alignment horizontal="left"/>
    </xf>
    <xf numFmtId="0" fontId="0" fillId="10" borderId="0" applyAlignment="1" pivotButton="0" quotePrefix="0" xfId="0">
      <alignment horizontal="right"/>
    </xf>
    <xf numFmtId="0" fontId="0" fillId="6" borderId="0" applyAlignment="1" pivotButton="0" quotePrefix="0" xfId="0">
      <alignment horizontal="right"/>
    </xf>
    <xf numFmtId="3" fontId="3" fillId="2" borderId="2" applyAlignment="1" pivotButton="0" quotePrefix="0" xfId="0">
      <alignment horizontal="center"/>
    </xf>
    <xf numFmtId="0" fontId="3" fillId="2" borderId="2" applyAlignment="1" pivotButton="0" quotePrefix="0" xfId="0">
      <alignment horizontal="center"/>
    </xf>
    <xf numFmtId="0" fontId="0" fillId="10" borderId="0" applyAlignment="1" pivotButton="0" quotePrefix="0" xfId="0">
      <alignment horizontal="center"/>
    </xf>
    <xf numFmtId="0" fontId="0" fillId="11" borderId="0" applyAlignment="1" pivotButton="0" quotePrefix="0" xfId="0">
      <alignment horizontal="left"/>
    </xf>
    <xf numFmtId="3" fontId="0" fillId="11" borderId="4" applyAlignment="1" pivotButton="0" quotePrefix="0" xfId="0">
      <alignment horizontal="center"/>
    </xf>
    <xf numFmtId="3" fontId="0" fillId="11" borderId="5" applyAlignment="1" pivotButton="0" quotePrefix="0" xfId="0">
      <alignment horizontal="center"/>
    </xf>
    <xf numFmtId="3" fontId="0" fillId="11" borderId="6" applyAlignment="1" pivotButton="0" quotePrefix="0" xfId="0">
      <alignment horizontal="center"/>
    </xf>
    <xf numFmtId="0" fontId="0" fillId="11" borderId="0" applyAlignment="1" pivotButton="0" quotePrefix="0" xfId="0">
      <alignment horizontal="right"/>
    </xf>
    <xf numFmtId="0" fontId="0" fillId="0" borderId="5" pivotButton="0" quotePrefix="0" xfId="0"/>
    <xf numFmtId="0" fontId="0" fillId="0" borderId="6" pivotButton="0" quotePrefix="0" xfId="0"/>
    <xf numFmtId="0" fontId="2" fillId="5" borderId="2" applyAlignment="1" pivotButton="0" quotePrefix="0" xfId="0">
      <alignment horizontal="left"/>
    </xf>
  </cellXfs>
  <cellStyles count="2">
    <cellStyle name="Обычный" xfId="0" builtinId="0"/>
    <cellStyle name="Процентный"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330"/>
  <sheetViews>
    <sheetView tabSelected="1" topLeftCell="A303" zoomScale="85" zoomScaleNormal="85" workbookViewId="0">
      <selection activeCell="D297" sqref="D297"/>
    </sheetView>
  </sheetViews>
  <sheetFormatPr baseColWidth="8" defaultRowHeight="14.4"/>
  <cols>
    <col width="30.109375" customWidth="1" style="3" min="1" max="1"/>
    <col width="16.5546875" customWidth="1" style="3" min="2" max="2"/>
    <col width="17.21875" customWidth="1" style="3" min="3" max="3"/>
    <col width="21.21875" customWidth="1" style="3" min="4" max="4"/>
    <col width="32.5546875" customWidth="1" style="3" min="5" max="5"/>
    <col width="33.77734375" customWidth="1" style="3" min="6" max="6"/>
    <col width="32.5546875" customWidth="1" style="3" min="7" max="7"/>
    <col width="38.77734375" customWidth="1" style="3" min="8" max="8"/>
    <col width="8.88671875" customWidth="1" style="3" min="9" max="16384"/>
  </cols>
  <sheetData>
    <row r="1" ht="15" customHeight="1">
      <c r="A1" s="183" t="inlineStr">
        <is>
          <t>LEGEND</t>
        </is>
      </c>
      <c r="B1" s="194" t="n"/>
      <c r="C1" s="194" t="n"/>
      <c r="D1" s="194" t="n"/>
      <c r="E1" s="195" t="n"/>
    </row>
    <row r="2">
      <c r="A2" s="173" t="inlineStr">
        <is>
          <t>Cells highlighted in red font contain formulas; do not change these cells so the formulas are not broken</t>
        </is>
      </c>
      <c r="B2" s="194" t="n"/>
      <c r="C2" s="194" t="n"/>
      <c r="D2" s="194" t="n"/>
      <c r="E2" s="195" t="n"/>
    </row>
    <row r="3">
      <c r="A3" s="174" t="inlineStr">
        <is>
          <t>Cells in bold black font contain values that can be changed</t>
        </is>
      </c>
      <c r="B3" s="194" t="n"/>
      <c r="C3" s="194" t="n"/>
      <c r="D3" s="194" t="n"/>
      <c r="E3" s="195" t="n"/>
    </row>
    <row r="4">
      <c r="A4" s="175" t="inlineStr">
        <is>
          <t>Yellow fill marks the key efficiency indicator</t>
        </is>
      </c>
      <c r="B4" s="194" t="n"/>
      <c r="C4" s="194" t="n"/>
      <c r="D4" s="194" t="n"/>
      <c r="E4" s="195" t="n"/>
    </row>
    <row r="5"/>
    <row r="6"/>
    <row r="7" customFormat="1" s="16">
      <c r="A7" s="15" t="n"/>
    </row>
    <row r="8" ht="21" customFormat="1" customHeight="1" s="7">
      <c r="A8" s="86" t="inlineStr">
        <is>
          <t>EXAMPLE 1 (THE MOST BASIC EFFICIENCY CALCULATION)</t>
        </is>
      </c>
    </row>
    <row r="9" customFormat="1" s="7"/>
    <row r="10" customFormat="1" s="7">
      <c r="A10" s="8" t="inlineStr">
        <is>
          <t>Investment</t>
        </is>
      </c>
      <c r="B10" s="9" t="n">
        <v>800</v>
      </c>
      <c r="G10" s="6" t="inlineStr">
        <is>
          <t>ROI formula (return on investment)</t>
        </is>
      </c>
      <c r="I10" s="6" t="n"/>
    </row>
    <row r="11" customFormat="1" s="7">
      <c r="A11" s="8" t="inlineStr">
        <is>
          <t>Revenue for 1 year</t>
        </is>
      </c>
      <c r="B11" s="9" t="n">
        <v>4000</v>
      </c>
      <c r="G11" s="7" t="inlineStr">
        <is>
          <t>(profit - investment) / investment</t>
        </is>
      </c>
    </row>
    <row r="12" customFormat="1" s="7">
      <c r="A12" s="8" t="inlineStr">
        <is>
          <t>Cost for 1 year</t>
        </is>
      </c>
      <c r="B12" s="9" t="n">
        <v>2950</v>
      </c>
    </row>
    <row r="13" customFormat="1" s="7">
      <c r="A13" s="8" t="inlineStr">
        <is>
          <t>Profit for 1 year</t>
        </is>
      </c>
      <c r="B13" s="10">
        <f>B11-B12</f>
        <v/>
      </c>
      <c r="G13" s="6" t="inlineStr">
        <is>
          <t>Sales margin formula</t>
        </is>
      </c>
    </row>
    <row r="14" customFormat="1" s="7">
      <c r="B14" s="11" t="n"/>
      <c r="G14" s="7" t="inlineStr">
        <is>
          <t>Profit / Revenue</t>
        </is>
      </c>
    </row>
    <row r="15" customFormat="1" s="7">
      <c r="A15" s="196" t="inlineStr">
        <is>
          <t>Efficiency</t>
        </is>
      </c>
      <c r="B15" s="195" t="n"/>
    </row>
    <row r="16" customFormat="1" s="7">
      <c r="A16" s="8" t="inlineStr">
        <is>
          <t>Investment (ROI)</t>
        </is>
      </c>
      <c r="B16" s="5">
        <f>(B13-B10)/B10</f>
        <v/>
      </c>
      <c r="C16" s="13" t="inlineStr">
        <is>
          <t>put simply, for every 1 ruble invested we will receive an additional 31 kopecks, or the return on investment will be 31%</t>
        </is>
      </c>
    </row>
    <row r="17" customFormat="1" s="7">
      <c r="A17" s="8" t="inlineStr">
        <is>
          <t>Sales</t>
        </is>
      </c>
      <c r="B17" s="12">
        <f>B13/B11</f>
        <v/>
      </c>
      <c r="C17" s="13" t="inlineStr">
        <is>
          <t>put simply, the share of profit in revenue is 26%; that is, of the money paid by the client, we keep 26% and the rest goes to costs</t>
        </is>
      </c>
    </row>
    <row r="18" customFormat="1" s="7">
      <c r="A18" s="8" t="inlineStr">
        <is>
          <t>Payback period</t>
        </is>
      </c>
      <c r="B18" s="14">
        <f>B10/B13*12</f>
        <v/>
      </c>
      <c r="C18" s="7" t="inlineStr">
        <is>
          <t>months</t>
        </is>
      </c>
    </row>
    <row r="19" customFormat="1" s="7"/>
    <row r="20" customFormat="1" s="7"/>
    <row r="21" customFormat="1" s="58"/>
    <row r="22" ht="21" customFormat="1" customHeight="1" s="60">
      <c r="A22" s="87" t="inlineStr">
        <is>
          <t>EXAMPLE 2 (COMPARISON OF EXAMPLE 1 WITH ALTERNATIVE INVESTMENT IN A BANK DEPOSIT)</t>
        </is>
      </c>
    </row>
    <row r="23" customFormat="1" s="60"/>
    <row r="24" customFormat="1" s="60">
      <c r="A24" s="59" t="inlineStr">
        <is>
          <t>What if, instead of this project, we invest in a bank deposit for 1 year?</t>
        </is>
      </c>
      <c r="B24" s="61" t="n"/>
    </row>
    <row r="25" customFormat="1" s="60">
      <c r="A25" s="60" t="inlineStr">
        <is>
          <t>Investment</t>
        </is>
      </c>
      <c r="B25" s="62" t="n">
        <v>800</v>
      </c>
      <c r="G25" s="59" t="inlineStr">
        <is>
          <t>Simple interest formula</t>
        </is>
      </c>
    </row>
    <row r="26" customFormat="1" s="60">
      <c r="A26" s="60" t="inlineStr">
        <is>
          <t>Annual deposit rate</t>
        </is>
      </c>
      <c r="B26" s="63" t="n">
        <v>0.1</v>
      </c>
      <c r="G26" s="60" t="inlineStr">
        <is>
          <t>FV=P*(1+r*n)</t>
        </is>
      </c>
    </row>
    <row r="27" customFormat="1" s="60">
      <c r="A27" s="60" t="inlineStr">
        <is>
          <t>Deposit proceeds</t>
        </is>
      </c>
      <c r="B27" s="64">
        <f>B25*(1+B26*1)</f>
        <v/>
      </c>
      <c r="C27" s="60" t="inlineStr">
        <is>
          <t>for 1 year</t>
        </is>
      </c>
    </row>
    <row r="28" customFormat="1" s="60">
      <c r="A28" s="60" t="inlineStr">
        <is>
          <t>Net deposit income</t>
        </is>
      </c>
      <c r="B28" s="64">
        <f>B27-B25</f>
        <v/>
      </c>
      <c r="C28" s="60" t="inlineStr">
        <is>
          <t>for 1 year</t>
        </is>
      </c>
    </row>
    <row r="29" customFormat="1" s="60">
      <c r="A29" s="60" t="inlineStr">
        <is>
          <t>Project income</t>
        </is>
      </c>
      <c r="B29" s="65">
        <f>B13-B10</f>
        <v/>
      </c>
      <c r="C29" s="60" t="inlineStr">
        <is>
          <t>for 1 year</t>
        </is>
      </c>
    </row>
    <row r="30" customFormat="1" s="60">
      <c r="A30" s="60" t="inlineStr">
        <is>
          <t>Difference</t>
        </is>
      </c>
      <c r="B30" s="65">
        <f>B29-B28</f>
        <v/>
      </c>
      <c r="C30" s="60" t="inlineStr">
        <is>
          <t>for 1 year</t>
        </is>
      </c>
    </row>
    <row r="31" customFormat="1" s="60">
      <c r="A31" s="60" t="inlineStr">
        <is>
          <t>Conclusion</t>
        </is>
      </c>
      <c r="B31" s="66" t="inlineStr">
        <is>
          <t>the project is more profitable if the difference is positive</t>
        </is>
      </c>
    </row>
    <row r="32" customFormat="1" s="60">
      <c r="B32" s="67" t="n"/>
    </row>
    <row r="33" customFormat="1" s="60">
      <c r="B33" s="67" t="n"/>
    </row>
    <row r="34" customFormat="1" s="38">
      <c r="B34" s="39" t="n"/>
    </row>
    <row r="35" ht="21" customFormat="1" customHeight="1" s="22">
      <c r="A35" s="88" t="inlineStr">
        <is>
          <t>EXAMPLE 3 (AN EXTENSION OF EXAMPLE 1 WITH PROFIT RECEIVED OVER 4 YEARS AND ADDITIONAL INVESTMENT OF THAT PROFIT IN A BANK DEPOSIT)</t>
        </is>
      </c>
      <c r="B35" s="23" t="n"/>
    </row>
    <row r="36" customFormat="1" s="22">
      <c r="B36" s="23" t="n"/>
    </row>
    <row r="37" customFormat="1" s="22">
      <c r="A37" s="24" t="inlineStr">
        <is>
          <t>What if the project income is received over 4 years instead of all at once in 1 year?</t>
        </is>
      </c>
      <c r="B37" s="23" t="n"/>
    </row>
    <row r="38" customFormat="1" s="22">
      <c r="A38" s="24" t="inlineStr">
        <is>
          <t>This method evaluates future cash flows while taking into account reinvestment of the project profit in a bank deposit!</t>
        </is>
      </c>
      <c r="B38" s="23" t="n"/>
      <c r="G38" s="24" t="inlineStr">
        <is>
          <t>Compound interest formula</t>
        </is>
      </c>
    </row>
    <row r="39" customFormat="1" s="22">
      <c r="B39" s="23" t="n"/>
      <c r="G39" s="22" t="inlineStr">
        <is>
          <t>FV=PV*(1+r)^n</t>
        </is>
      </c>
    </row>
    <row r="40" customFormat="1" s="22">
      <c r="A40" s="22" t="inlineStr">
        <is>
          <t>Investment</t>
        </is>
      </c>
      <c r="B40" s="25" t="n">
        <v>800</v>
      </c>
      <c r="G40" s="37" t="inlineStr">
        <is>
          <t>FV (Future Value) including additional bank income is, simply put, how much money will be worth in the future if it is kept in a bank rather than under a pillow</t>
        </is>
      </c>
    </row>
    <row r="41" customFormat="1" s="22">
      <c r="B41" s="23" t="n"/>
    </row>
    <row r="42" customFormat="1" s="22">
      <c r="A42" s="26" t="n"/>
      <c r="B42" s="27" t="inlineStr">
        <is>
          <t>Revenue</t>
        </is>
      </c>
      <c r="C42" s="26" t="inlineStr">
        <is>
          <t>Cost</t>
        </is>
      </c>
      <c r="D42" s="28" t="inlineStr">
        <is>
          <t>Profit (FV)</t>
        </is>
      </c>
      <c r="E42" s="28" t="inlineStr">
        <is>
          <t>FV including additional bank income</t>
        </is>
      </c>
    </row>
    <row r="43" customFormat="1" s="22">
      <c r="A43" s="26" t="inlineStr">
        <is>
          <t>Year 1</t>
        </is>
      </c>
      <c r="B43" s="29" t="n">
        <v>1000</v>
      </c>
      <c r="C43" s="30" t="n">
        <v>650</v>
      </c>
      <c r="D43" s="31">
        <f>B43-C43</f>
        <v/>
      </c>
      <c r="E43" s="32">
        <f>D43*(1+$B$26)^3</f>
        <v/>
      </c>
      <c r="F43" s="37" t="inlineStr">
        <is>
          <t>raise to the power of 3 because the profit received after the first year will be deposited in the bank for 3 years</t>
        </is>
      </c>
    </row>
    <row r="44" customFormat="1" s="22">
      <c r="A44" s="26" t="inlineStr">
        <is>
          <t>Year 2</t>
        </is>
      </c>
      <c r="B44" s="29" t="n">
        <v>1000</v>
      </c>
      <c r="C44" s="30" t="n">
        <v>650</v>
      </c>
      <c r="D44" s="31">
        <f>B44-C44</f>
        <v/>
      </c>
      <c r="E44" s="32">
        <f>D44*(1+$B$26)^2</f>
        <v/>
      </c>
      <c r="F44" s="37" t="inlineStr">
        <is>
          <t>raise to the power of 2 because the profit received after the second year will be deposited in the bank for 2 years</t>
        </is>
      </c>
    </row>
    <row r="45" customFormat="1" s="22">
      <c r="A45" s="26" t="inlineStr">
        <is>
          <t>Year 3</t>
        </is>
      </c>
      <c r="B45" s="29" t="n">
        <v>1000</v>
      </c>
      <c r="C45" s="30" t="n">
        <v>800</v>
      </c>
      <c r="D45" s="31">
        <f>B45-C45</f>
        <v/>
      </c>
      <c r="E45" s="32">
        <f>D45*(1+$B$26)</f>
        <v/>
      </c>
      <c r="F45" s="37" t="inlineStr">
        <is>
          <t>raise to the power of 1 because the profit received after the third year will be deposited in the bank for 1 year</t>
        </is>
      </c>
    </row>
    <row r="46" customFormat="1" s="22">
      <c r="A46" s="26" t="inlineStr">
        <is>
          <t>Year 4</t>
        </is>
      </c>
      <c r="B46" s="29" t="n">
        <v>1000</v>
      </c>
      <c r="C46" s="30" t="n">
        <v>850</v>
      </c>
      <c r="D46" s="31">
        <f>B46-C46</f>
        <v/>
      </c>
      <c r="E46" s="32">
        <f>D46</f>
        <v/>
      </c>
      <c r="F46" s="37" t="inlineStr">
        <is>
          <t>do not raise to any power because the profit received after the fourth year is not reinvested, since both the deposit and the project end after 4 years</t>
        </is>
      </c>
    </row>
    <row r="47" customFormat="1" s="22">
      <c r="A47" s="26" t="inlineStr">
        <is>
          <t>Total</t>
        </is>
      </c>
      <c r="B47" s="31">
        <f>SUM(B43:B46)</f>
        <v/>
      </c>
      <c r="C47" s="31">
        <f>SUM(C43:C46)</f>
        <v/>
      </c>
      <c r="D47" s="31">
        <f>SUM(D43:D46)</f>
        <v/>
      </c>
      <c r="E47" s="32">
        <f>SUM(E43:E46)</f>
        <v/>
      </c>
    </row>
    <row r="48" customFormat="1" s="22">
      <c r="B48" s="23" t="n"/>
    </row>
    <row r="49" customFormat="1" s="22">
      <c r="A49" s="22" t="inlineStr">
        <is>
          <t>What if, for comparison, we skip the project and simply invest in a bank for 4 years?</t>
        </is>
      </c>
      <c r="B49" s="23" t="n"/>
    </row>
    <row r="50" customFormat="1" s="22">
      <c r="A50" s="22" t="inlineStr">
        <is>
          <t>Bank income</t>
        </is>
      </c>
      <c r="B50" s="33">
        <f>B40*(1+B26)^4-B40</f>
        <v/>
      </c>
      <c r="C50" s="37" t="inlineStr">
        <is>
          <t>calculate using the compound interest formula and subtract the initial investment amount to determine the bank's net income</t>
        </is>
      </c>
    </row>
    <row r="51" customFormat="1" s="22">
      <c r="A51" s="22" t="inlineStr">
        <is>
          <t>Project income</t>
        </is>
      </c>
      <c r="B51" s="34">
        <f>E47-B40</f>
        <v/>
      </c>
      <c r="C51" s="37" t="inlineStr">
        <is>
          <t>simply subtract the initial investment amount from the total project profit including additional bank income</t>
        </is>
      </c>
    </row>
    <row r="52" customFormat="1" s="22">
      <c r="A52" s="22" t="inlineStr">
        <is>
          <t>Difference</t>
        </is>
      </c>
      <c r="B52" s="33">
        <f>B51-B50</f>
        <v/>
      </c>
      <c r="C52" s="37" t="inlineStr">
        <is>
          <t>subtract bank income from project income; if the result is positive, the project is more profitable</t>
        </is>
      </c>
    </row>
    <row r="53" customFormat="1" s="22">
      <c r="B53" s="23" t="n"/>
    </row>
    <row r="54" customFormat="1" s="22">
      <c r="A54" s="35" t="n"/>
      <c r="B54" s="36" t="n"/>
      <c r="C54" s="35" t="n"/>
      <c r="D54" s="35" t="n"/>
      <c r="E54" s="35" t="n"/>
    </row>
    <row r="55" customFormat="1" s="43">
      <c r="A55" s="41" t="n"/>
      <c r="B55" s="42" t="n"/>
      <c r="F55" s="44" t="n"/>
      <c r="G55" s="44" t="n"/>
      <c r="H55" s="44" t="n"/>
    </row>
    <row r="56" ht="21" customFormat="1" customHeight="1" s="43">
      <c r="A56" s="85" t="inlineStr">
        <is>
          <t>EXAMPLE 4 (THE SAME AS EXAMPLE 3, BUT WITH REVERSE CALCULATION)</t>
        </is>
      </c>
      <c r="B56" s="42" t="n"/>
    </row>
    <row r="57" customFormat="1" s="43">
      <c r="A57" s="41" t="n"/>
      <c r="B57" s="42" t="n"/>
    </row>
    <row r="58" customFormat="1" s="43">
      <c r="A58" s="41" t="inlineStr">
        <is>
          <t>Example 3 was provided simply to explain the logic that money changes in value over time, because it can be invested at interest in a bank, and bank interest already accounts for the loss of money value (inflation).</t>
        </is>
      </c>
      <c r="B58" s="42" t="n"/>
    </row>
    <row r="59" customFormat="1" s="43">
      <c r="A59" s="43" t="inlineStr">
        <is>
          <t>If money is not deposited in a bank and is instead kept under a pillow, it will simply lose value. If it is deposited in a bank, bank interest offsets inflation. The central bank rate is usually set depending on inflation.</t>
        </is>
      </c>
      <c r="B59" s="42" t="n"/>
    </row>
    <row r="60" customFormat="1" s="43">
      <c r="A60" s="43" t="inlineStr">
        <is>
          <t>Importantly, in practice one does not usually estimate the future value of money as in Example 3, but instead discounts future cash flows (FV) to the present using the same logic.</t>
        </is>
      </c>
      <c r="B60" s="42" t="n"/>
    </row>
    <row r="61" customFormat="1" s="43">
      <c r="A61" s="43" t="inlineStr">
        <is>
          <t>This is called discounting, that is, converting the value of future money into its value at the present time.</t>
        </is>
      </c>
      <c r="B61" s="42" t="n"/>
    </row>
    <row r="62" customFormat="1" s="43">
      <c r="A62" s="41" t="n"/>
      <c r="B62" s="42" t="n"/>
    </row>
    <row r="63" customFormat="1" s="43">
      <c r="B63" s="42" t="n"/>
      <c r="D63" s="41" t="inlineStr">
        <is>
          <t>Discounted income formula</t>
        </is>
      </c>
      <c r="G63" s="41" t="inlineStr">
        <is>
          <t>Net present value formula</t>
        </is>
      </c>
    </row>
    <row r="64" customFormat="1" s="43">
      <c r="D64" s="43" t="inlineStr">
        <is>
          <t>PV=FV/(1+r)^n</t>
        </is>
      </c>
      <c r="G64" s="43" t="inlineStr">
        <is>
          <t>NPV=ΣFV-IC</t>
        </is>
      </c>
    </row>
    <row r="65" customFormat="1" s="43">
      <c r="A65" s="43" t="inlineStr">
        <is>
          <t>Investment (IC - Invested Capital)</t>
        </is>
      </c>
      <c r="B65" s="45" t="n">
        <v>800</v>
      </c>
      <c r="D65" s="56" t="inlineStr">
        <is>
          <t>note that this is the same compound interest formula, only reversed</t>
        </is>
      </c>
      <c r="G65" s="56" t="inlineStr">
        <is>
          <t>subtract the investment amount from the total discounted income</t>
        </is>
      </c>
    </row>
    <row r="66" customFormat="1" s="43">
      <c r="B66" s="42" t="n"/>
      <c r="G66" s="56" t="n"/>
    </row>
    <row r="67" customFormat="1" s="43">
      <c r="A67" s="46" t="n"/>
      <c r="B67" s="47" t="inlineStr">
        <is>
          <t>Revenue</t>
        </is>
      </c>
      <c r="C67" s="46" t="inlineStr">
        <is>
          <t>Cost</t>
        </is>
      </c>
      <c r="D67" s="48" t="inlineStr">
        <is>
          <t>Profit (FV)</t>
        </is>
      </c>
      <c r="E67" s="48" t="inlineStr">
        <is>
          <t>Discounted income (PV)</t>
        </is>
      </c>
      <c r="F67" s="48" t="inlineStr">
        <is>
          <t>Cumulative balance</t>
        </is>
      </c>
    </row>
    <row r="68" customFormat="1" s="43">
      <c r="A68" s="46" t="inlineStr">
        <is>
          <t>Year 1</t>
        </is>
      </c>
      <c r="B68" s="49" t="n">
        <v>1000</v>
      </c>
      <c r="C68" s="50" t="n">
        <v>650</v>
      </c>
      <c r="D68" s="51">
        <f>B68-C68</f>
        <v/>
      </c>
      <c r="E68" s="52">
        <f>D68/(1+$B$26)^1</f>
        <v/>
      </c>
      <c r="F68" s="52">
        <f>-B65+E68</f>
        <v/>
      </c>
      <c r="G68" s="56" t="inlineStr">
        <is>
          <t>raise to the power of 1, as this is money received after the first year</t>
        </is>
      </c>
    </row>
    <row r="69" customFormat="1" s="43">
      <c r="A69" s="46" t="inlineStr">
        <is>
          <t>Year 2</t>
        </is>
      </c>
      <c r="B69" s="49" t="n">
        <v>1000</v>
      </c>
      <c r="C69" s="50" t="n">
        <v>650</v>
      </c>
      <c r="D69" s="51">
        <f>B69-C69</f>
        <v/>
      </c>
      <c r="E69" s="52">
        <f>D69/(1+$B$26)^2</f>
        <v/>
      </c>
      <c r="F69" s="52">
        <f>F68+E69</f>
        <v/>
      </c>
      <c r="G69" s="56" t="inlineStr">
        <is>
          <t>raise to the power of 2, as this is money received after the second year</t>
        </is>
      </c>
    </row>
    <row r="70" customFormat="1" s="43">
      <c r="A70" s="46" t="inlineStr">
        <is>
          <t>Year 3</t>
        </is>
      </c>
      <c r="B70" s="49" t="n">
        <v>1000</v>
      </c>
      <c r="C70" s="50" t="n">
        <v>800</v>
      </c>
      <c r="D70" s="51">
        <f>B70-C70</f>
        <v/>
      </c>
      <c r="E70" s="52">
        <f>D70/(1+$B$26)^3</f>
        <v/>
      </c>
      <c r="F70" s="52">
        <f>F69+E70</f>
        <v/>
      </c>
      <c r="G70" s="56" t="inlineStr">
        <is>
          <t>raise to the power of 3, as this is money received after the third year</t>
        </is>
      </c>
    </row>
    <row r="71" customFormat="1" s="43">
      <c r="A71" s="46" t="inlineStr">
        <is>
          <t>Year 4</t>
        </is>
      </c>
      <c r="B71" s="49" t="n">
        <v>1000</v>
      </c>
      <c r="C71" s="50" t="n">
        <v>850</v>
      </c>
      <c r="D71" s="51">
        <f>B71-C71</f>
        <v/>
      </c>
      <c r="E71" s="52">
        <f>D71/(1+$B$26)^4</f>
        <v/>
      </c>
      <c r="F71" s="52">
        <f>F70+E71</f>
        <v/>
      </c>
      <c r="G71" s="56" t="inlineStr">
        <is>
          <t>raise to the power of 4, as this is money received after the fourth year</t>
        </is>
      </c>
    </row>
    <row r="72" customFormat="1" s="43">
      <c r="A72" s="46" t="inlineStr">
        <is>
          <t>Total</t>
        </is>
      </c>
      <c r="B72" s="51">
        <f>SUM(B68:B71)</f>
        <v/>
      </c>
      <c r="C72" s="51">
        <f>SUM(C68:C71)</f>
        <v/>
      </c>
      <c r="D72" s="51">
        <f>SUM(D68:D71)</f>
        <v/>
      </c>
      <c r="E72" s="52">
        <f>SUM(E68:E71)</f>
        <v/>
      </c>
      <c r="F72" s="53" t="inlineStr">
        <is>
          <t>-</t>
        </is>
      </c>
    </row>
    <row r="73" customFormat="1" s="43">
      <c r="B73" s="42" t="n"/>
      <c r="F73" s="56" t="inlineStr">
        <is>
          <t>the cumulative balance is the amount that remains after taking into account that our investment is beginning to pay back</t>
        </is>
      </c>
    </row>
    <row r="74" customFormat="1" s="43">
      <c r="B74" s="42" t="n"/>
      <c r="F74" s="56" t="n"/>
    </row>
    <row r="75" customFormat="1" s="43">
      <c r="A75" s="43" t="inlineStr">
        <is>
          <t>Net present value (NPV)</t>
        </is>
      </c>
      <c r="B75" s="68">
        <f>E72-B65</f>
        <v/>
      </c>
      <c r="C75" s="56" t="inlineStr">
        <is>
          <t>if NPV is above zero, investing in the project is more profitable than simply placing money in a bank; if it equals zero, the same amount can be earned from a bank deposit without taking risk.</t>
        </is>
      </c>
    </row>
    <row r="76" customFormat="1" s="43">
      <c r="A76" s="43" t="inlineStr">
        <is>
          <t>NPV converted to future value</t>
        </is>
      </c>
      <c r="B76" s="55">
        <f>B75*(1+$B$26)^4</f>
        <v/>
      </c>
      <c r="C76" s="56" t="inlineStr">
        <is>
          <t>if we convert the NPV amount using the compound interest formula (that is, convert today's money into future value, as in Example 3), we will obtain the same difference as in Example 3</t>
        </is>
      </c>
    </row>
    <row r="77" customFormat="1" s="43">
      <c r="B77" s="55" t="n"/>
      <c r="C77" s="56" t="inlineStr">
        <is>
          <t>Therefore, we can once again confirm that this method is the same as in Example 3, only in reverse.</t>
        </is>
      </c>
    </row>
    <row r="78" customFormat="1" s="43">
      <c r="B78" s="55" t="n"/>
      <c r="C78" s="56" t="inlineStr">
        <is>
          <t>Thus, NPV is exactly the difference between project income and bank deposit income from Example 3, but converted into today's money value</t>
        </is>
      </c>
    </row>
    <row r="79" customFormat="1" s="43">
      <c r="B79" s="42" t="n"/>
    </row>
    <row r="80" customFormat="1" s="43">
      <c r="A80" s="43" t="inlineStr">
        <is>
          <t>Payback period</t>
        </is>
      </c>
      <c r="B80" s="57" t="inlineStr">
        <is>
          <t>3 years and</t>
        </is>
      </c>
      <c r="C80" s="54">
        <f>-1*F70/E71*12</f>
        <v/>
      </c>
      <c r="D80" s="43" t="inlineStr">
        <is>
          <t>months</t>
        </is>
      </c>
      <c r="E80" s="56" t="inlineStr">
        <is>
          <t>to calculate in which month the investment pays back, take the absolute value of the last negative cumulative balance and divide it by the amount that will bring the cumulative balance into positive territory</t>
        </is>
      </c>
    </row>
    <row r="81" customFormat="1" s="43">
      <c r="B81" s="69" t="inlineStr">
        <is>
          <t>3 years, if according to the calculation the cumulative balance is already positive in year 4</t>
        </is>
      </c>
    </row>
    <row r="82" customFormat="1" s="43">
      <c r="B82" s="42" t="n"/>
    </row>
    <row r="83" customFormat="1" s="40">
      <c r="B83" s="70" t="n"/>
    </row>
    <row r="84" ht="21" customFormat="1" customHeight="1" s="17">
      <c r="A84" s="89" t="inlineStr">
        <is>
          <t>EXAMPLE 5 (EFFICIENCY CALCULATION FOR A PROJECT IMPLEMENTED IN AN EXISTING ORGANIZATION)</t>
        </is>
      </c>
      <c r="B84" s="21" t="n"/>
    </row>
    <row r="85" customFormat="1" s="17">
      <c r="B85" s="21" t="n"/>
    </row>
    <row r="86" customFormat="1" s="17">
      <c r="A86" s="18" t="inlineStr">
        <is>
          <t>Example of calculating project efficiency when it is implemented in existing operations and evaluated after 1 year</t>
        </is>
      </c>
      <c r="B86" s="21" t="n"/>
    </row>
    <row r="87" customFormat="1" s="17">
      <c r="A87" s="18" t="n"/>
      <c r="B87" s="21" t="n"/>
    </row>
    <row r="88" customFormat="1" s="17">
      <c r="A88" s="71" t="n"/>
      <c r="B88" s="73" t="inlineStr">
        <is>
          <t>Existing operations</t>
        </is>
      </c>
      <c r="C88" s="194" t="n"/>
      <c r="D88" s="195" t="n"/>
      <c r="E88" s="72" t="inlineStr">
        <is>
          <t>Scenario 1</t>
        </is>
      </c>
      <c r="F88" s="72" t="inlineStr">
        <is>
          <t>Scenario 2</t>
        </is>
      </c>
    </row>
    <row r="89" customFormat="1" s="17">
      <c r="A89" s="72" t="n"/>
      <c r="B89" s="73" t="inlineStr">
        <is>
          <t>Year 2023</t>
        </is>
      </c>
      <c r="C89" s="72" t="inlineStr">
        <is>
          <t>Year 2024</t>
        </is>
      </c>
      <c r="D89" s="72" t="inlineStr">
        <is>
          <t>Year 2025</t>
        </is>
      </c>
      <c r="E89" s="72" t="inlineStr">
        <is>
          <t>2026 forecast without the project</t>
        </is>
      </c>
      <c r="F89" s="72" t="inlineStr">
        <is>
          <t>2026 forecast with the project</t>
        </is>
      </c>
      <c r="G89" s="19" t="n"/>
      <c r="H89" s="19" t="n"/>
    </row>
    <row r="90" customFormat="1" s="17">
      <c r="A90" s="71" t="inlineStr">
        <is>
          <t>Revenue</t>
        </is>
      </c>
      <c r="B90" s="74" t="n">
        <v>700</v>
      </c>
      <c r="C90" s="75" t="n">
        <v>750</v>
      </c>
      <c r="D90" s="75" t="n">
        <v>730</v>
      </c>
      <c r="E90" s="76">
        <f>AVERAGE(B90:D90)</f>
        <v/>
      </c>
      <c r="F90" s="77">
        <f>E90*(1+C98)</f>
        <v/>
      </c>
    </row>
    <row r="91" customFormat="1" s="17">
      <c r="A91" s="71" t="inlineStr">
        <is>
          <t>Costs</t>
        </is>
      </c>
      <c r="B91" s="74" t="n">
        <v>400</v>
      </c>
      <c r="C91" s="75" t="n">
        <v>450</v>
      </c>
      <c r="D91" s="75" t="n">
        <v>420</v>
      </c>
      <c r="E91" s="77">
        <f>E90*E107</f>
        <v/>
      </c>
      <c r="F91" s="77">
        <f>F90*E107</f>
        <v/>
      </c>
    </row>
    <row r="92" customFormat="1" s="17">
      <c r="A92" s="71" t="inlineStr">
        <is>
          <t>Profit</t>
        </is>
      </c>
      <c r="B92" s="76">
        <f>B90-B91</f>
        <v/>
      </c>
      <c r="C92" s="76">
        <f>C90-C91</f>
        <v/>
      </c>
      <c r="D92" s="76">
        <f>D90-D91</f>
        <v/>
      </c>
      <c r="E92" s="76">
        <f>E90-E91</f>
        <v/>
      </c>
      <c r="F92" s="76">
        <f>F90-F91</f>
        <v/>
      </c>
      <c r="G92" s="21" t="n"/>
    </row>
    <row r="93" customFormat="1" s="17">
      <c r="A93" s="71" t="inlineStr">
        <is>
          <t>Cost profitability</t>
        </is>
      </c>
      <c r="B93" s="78">
        <f>B92/B91</f>
        <v/>
      </c>
      <c r="C93" s="78">
        <f>C92/C91</f>
        <v/>
      </c>
      <c r="D93" s="78">
        <f>D92/D91</f>
        <v/>
      </c>
      <c r="E93" s="5">
        <f>E92/E91</f>
        <v/>
      </c>
      <c r="F93" s="5">
        <f>F92/F91</f>
        <v/>
      </c>
      <c r="G93" s="79" t="inlineStr">
        <is>
          <t>If cost profitability declines, the business operates more at the limit. This is a path to losses when the market fluctuates.</t>
        </is>
      </c>
    </row>
    <row r="94" customFormat="1" s="17">
      <c r="A94" s="71" t="inlineStr">
        <is>
          <t>Sales profitability</t>
        </is>
      </c>
      <c r="B94" s="78">
        <f>B92/B90</f>
        <v/>
      </c>
      <c r="C94" s="78">
        <f>C92/C90</f>
        <v/>
      </c>
      <c r="D94" s="78">
        <f>D92/D90</f>
        <v/>
      </c>
      <c r="E94" s="78">
        <f>E92/E90</f>
        <v/>
      </c>
      <c r="F94" s="78">
        <f>F92/F90</f>
        <v/>
      </c>
      <c r="G94" s="79" t="inlineStr">
        <is>
          <t>If sales profitability declines, the safety margin (the share of profit in revenue) decreases.</t>
        </is>
      </c>
    </row>
    <row r="95" customFormat="1" s="17"/>
    <row r="96" customFormat="1" s="17">
      <c r="A96" s="17" t="inlineStr">
        <is>
          <t>In 2026, some project to improve something is planned</t>
        </is>
      </c>
    </row>
    <row r="97" customFormat="1" s="17">
      <c r="A97" s="185" t="inlineStr">
        <is>
          <t>Project costs (investment):</t>
        </is>
      </c>
      <c r="C97" s="136" t="n">
        <v>9</v>
      </c>
    </row>
    <row r="98" customFormat="1" s="17">
      <c r="A98" s="185" t="inlineStr">
        <is>
          <t>Planned revenue growth due to the project:</t>
        </is>
      </c>
      <c r="C98" s="20" t="n">
        <v>0.08</v>
      </c>
    </row>
    <row r="99" customFormat="1" s="17"/>
    <row r="100" customFormat="1" s="17">
      <c r="A100" s="17" t="inlineStr">
        <is>
          <t>To plan revenue without the project (Scenario 1), simply take the average revenue for the previous 3 years</t>
        </is>
      </c>
    </row>
    <row r="101" customFormat="1" s="17">
      <c r="A101" s="17" t="inlineStr">
        <is>
          <t>This is the simplest forecasting method, when we rely only on data from past periods</t>
        </is>
      </c>
    </row>
    <row r="102" customFormat="1" s="17">
      <c r="A102" s="17" t="inlineStr">
        <is>
          <t>There are also other, more complex forecasting methods in which we can take into account the correlation between revenue and other factors, for example, a festival taking place near the hotel</t>
        </is>
      </c>
    </row>
    <row r="103" customFormat="1" s="17"/>
    <row r="104" customFormat="1" s="17">
      <c r="A104" s="17" t="inlineStr">
        <is>
          <t>To plan costs for 2026, determine what share of revenue costs represented in previous years and calculate the average share, which will be the forecast:</t>
        </is>
      </c>
    </row>
    <row r="105" customFormat="1" s="17"/>
    <row r="106" customFormat="1" s="17">
      <c r="A106" s="71" t="n"/>
      <c r="B106" s="72" t="n">
        <v>2023</v>
      </c>
      <c r="C106" s="72" t="n">
        <v>2024</v>
      </c>
      <c r="D106" s="72" t="n">
        <v>2025</v>
      </c>
      <c r="E106" s="72" t="inlineStr">
        <is>
          <t>Average (forecast for 2026)</t>
        </is>
      </c>
    </row>
    <row r="107" customFormat="1" s="17">
      <c r="A107" s="71" t="inlineStr">
        <is>
          <t>Cost share in revenue</t>
        </is>
      </c>
      <c r="B107" s="138">
        <f>B91/B90</f>
        <v/>
      </c>
      <c r="C107" s="138">
        <f>C91/C90</f>
        <v/>
      </c>
      <c r="D107" s="138">
        <f>D91/D90</f>
        <v/>
      </c>
      <c r="E107" s="137">
        <f>AVERAGE(B107:D107)</f>
        <v/>
      </c>
      <c r="F107" s="81" t="n"/>
    </row>
    <row r="108" customFormat="1" s="17"/>
    <row r="109" customFormat="1" s="17"/>
    <row r="110" customFormat="1" s="17">
      <c r="A110" s="17" t="inlineStr">
        <is>
          <t>Let us calculate the effect (profit) of the implemented project. To do this, subtract Scenario 1 profit from Scenario 2 profit and additionally subtract the project costs (investment)</t>
        </is>
      </c>
    </row>
    <row r="111" customFormat="1" s="17">
      <c r="A111" s="185" t="inlineStr">
        <is>
          <t>Effect (profit):</t>
        </is>
      </c>
      <c r="C111" s="1">
        <f>F92-E92-C97</f>
        <v/>
      </c>
      <c r="D111" s="79" t="inlineStr">
        <is>
          <t>based on one year</t>
        </is>
      </c>
    </row>
    <row r="112" customFormat="1" s="17"/>
    <row r="113" customFormat="1" s="17">
      <c r="A113" s="17" t="inlineStr">
        <is>
          <t>Let us calculate the efficiency of our investment in the project (ROI). If the value is above zero, the project covers its costs and additionally yields that percentage return on the investment</t>
        </is>
      </c>
    </row>
    <row r="114" customFormat="1" s="17">
      <c r="A114" s="185" t="inlineStr">
        <is>
          <t>Efficiency (ROI):</t>
        </is>
      </c>
      <c r="C114" s="2">
        <f>(C111)/C97</f>
        <v/>
      </c>
      <c r="D114" s="79" t="inlineStr">
        <is>
          <t>based on one year</t>
        </is>
      </c>
    </row>
    <row r="115" customFormat="1" s="17">
      <c r="A115" s="185" t="n"/>
      <c r="B115" s="185" t="n"/>
      <c r="C115" s="82" t="n"/>
    </row>
    <row r="116" customFormat="1" s="17">
      <c r="A116" s="83" t="inlineStr">
        <is>
          <t>Let us calculate the payback period of the project costs (in months)</t>
        </is>
      </c>
      <c r="B116" s="185" t="n"/>
      <c r="C116" s="82" t="n"/>
    </row>
    <row r="117" customFormat="1" s="17">
      <c r="A117" s="185" t="inlineStr">
        <is>
          <t>Payback period:</t>
        </is>
      </c>
      <c r="C117" s="84">
        <f>(C97/(F92-E92))*12</f>
        <v/>
      </c>
      <c r="D117" s="17" t="inlineStr">
        <is>
          <t>months</t>
        </is>
      </c>
      <c r="E117" s="79" t="inlineStr">
        <is>
          <t>divide the investment amount by the difference between Scenario 2 and Scenario 1 and multiply the result by 12</t>
        </is>
      </c>
    </row>
    <row r="118" customFormat="1" s="17">
      <c r="A118" s="185" t="n"/>
      <c r="B118" s="185" t="n"/>
      <c r="C118" s="84" t="n"/>
      <c r="E118" s="79" t="inlineStr">
        <is>
          <t>applicable if profit is the same each month</t>
        </is>
      </c>
    </row>
    <row r="119" customFormat="1" s="17"/>
    <row r="120" customFormat="1" s="90"/>
    <row r="121" ht="21" customFormat="1" customHeight="1" s="92">
      <c r="A121" s="91" t="inlineStr">
        <is>
          <t>EXAMPLE 6 (EFFICIENCY CALCULATION FOR A PROJECT IMPLEMENTED IN AN EXISTING ORGANIZATION, WITH PROFIT RECEIVED OVER 4 YEARS)</t>
        </is>
      </c>
    </row>
    <row r="122" customFormat="1" s="92"/>
    <row r="123" customFormat="1" s="92">
      <c r="A123" s="93" t="inlineStr">
        <is>
          <t>Example of calculating project efficiency when it is implemented in existing operations and evaluated after 4 years</t>
        </is>
      </c>
    </row>
    <row r="124" customFormat="1" s="92"/>
    <row r="125" customFormat="1" s="92">
      <c r="A125" s="94" t="n"/>
      <c r="B125" s="96" t="inlineStr">
        <is>
          <t>Existing operations</t>
        </is>
      </c>
      <c r="C125" s="194" t="n"/>
      <c r="D125" s="195" t="n"/>
      <c r="E125" s="176" t="inlineStr">
        <is>
          <t>Scenario 1</t>
        </is>
      </c>
      <c r="F125" s="194" t="n"/>
      <c r="G125" s="194" t="n"/>
      <c r="H125" s="195" t="n"/>
    </row>
    <row r="126" customFormat="1" s="92">
      <c r="A126" s="176" t="n"/>
      <c r="B126" s="96" t="inlineStr">
        <is>
          <t>Year 2023</t>
        </is>
      </c>
      <c r="C126" s="176" t="inlineStr">
        <is>
          <t>Year 2024</t>
        </is>
      </c>
      <c r="D126" s="176" t="inlineStr">
        <is>
          <t>Year 2025</t>
        </is>
      </c>
      <c r="E126" s="176" t="inlineStr">
        <is>
          <t>2026 forecast without the project</t>
        </is>
      </c>
      <c r="F126" s="176" t="inlineStr">
        <is>
          <t>2027 forecast without the project</t>
        </is>
      </c>
      <c r="G126" s="176" t="inlineStr">
        <is>
          <t>2028 forecast without the project</t>
        </is>
      </c>
      <c r="H126" s="176" t="inlineStr">
        <is>
          <t>2029 forecast without the project</t>
        </is>
      </c>
    </row>
    <row r="127" customFormat="1" s="92">
      <c r="A127" s="94" t="inlineStr">
        <is>
          <t>Revenue</t>
        </is>
      </c>
      <c r="B127" s="97" t="n">
        <v>800</v>
      </c>
      <c r="C127" s="98" t="n">
        <v>850</v>
      </c>
      <c r="D127" s="98" t="n">
        <v>830</v>
      </c>
      <c r="E127" s="99">
        <f>AVERAGE(B127:D127)</f>
        <v/>
      </c>
      <c r="F127" s="99">
        <f>AVERAGE(C127:E127)</f>
        <v/>
      </c>
      <c r="G127" s="99">
        <f>AVERAGE(D127:F127)</f>
        <v/>
      </c>
      <c r="H127" s="99">
        <f>AVERAGE(E127:G127)</f>
        <v/>
      </c>
    </row>
    <row r="128" customFormat="1" s="92">
      <c r="A128" s="94" t="inlineStr">
        <is>
          <t>Costs</t>
        </is>
      </c>
      <c r="B128" s="97" t="n">
        <v>500</v>
      </c>
      <c r="C128" s="98" t="n">
        <v>550</v>
      </c>
      <c r="D128" s="98" t="n">
        <v>520</v>
      </c>
      <c r="E128" s="100">
        <f>E127*E145</f>
        <v/>
      </c>
      <c r="F128" s="100">
        <f>F127*F145</f>
        <v/>
      </c>
      <c r="G128" s="100">
        <f>G127*G145</f>
        <v/>
      </c>
      <c r="H128" s="100">
        <f>H127*H145</f>
        <v/>
      </c>
    </row>
    <row r="129" customFormat="1" s="92">
      <c r="A129" s="94" t="inlineStr">
        <is>
          <t>Profit</t>
        </is>
      </c>
      <c r="B129" s="99">
        <f>B127-B128</f>
        <v/>
      </c>
      <c r="C129" s="99">
        <f>C127-C128</f>
        <v/>
      </c>
      <c r="D129" s="99">
        <f>D127-D128</f>
        <v/>
      </c>
      <c r="E129" s="99">
        <f>E127-E128</f>
        <v/>
      </c>
      <c r="F129" s="99">
        <f>F127-F128</f>
        <v/>
      </c>
      <c r="G129" s="99">
        <f>G127-G128</f>
        <v/>
      </c>
      <c r="H129" s="99">
        <f>H127-H128</f>
        <v/>
      </c>
    </row>
    <row r="130" customFormat="1" s="92">
      <c r="A130" s="94" t="inlineStr">
        <is>
          <t>Cost profitability</t>
        </is>
      </c>
      <c r="B130" s="101">
        <f>B129/B128</f>
        <v/>
      </c>
      <c r="C130" s="101">
        <f>C129/C128</f>
        <v/>
      </c>
      <c r="D130" s="101">
        <f>D129/D128</f>
        <v/>
      </c>
      <c r="E130" s="101">
        <f>E129/E128</f>
        <v/>
      </c>
      <c r="F130" s="101">
        <f>F129/F128</f>
        <v/>
      </c>
      <c r="G130" s="101">
        <f>G129/G128</f>
        <v/>
      </c>
      <c r="H130" s="101">
        <f>H129/H128</f>
        <v/>
      </c>
    </row>
    <row r="131" customFormat="1" s="92">
      <c r="A131" s="94" t="inlineStr">
        <is>
          <t>Sales profitability</t>
        </is>
      </c>
      <c r="B131" s="101">
        <f>B129/B127</f>
        <v/>
      </c>
      <c r="C131" s="101">
        <f>C129/C127</f>
        <v/>
      </c>
      <c r="D131" s="101">
        <f>D129/D127</f>
        <v/>
      </c>
      <c r="E131" s="101">
        <f>E129/E127</f>
        <v/>
      </c>
      <c r="F131" s="101">
        <f>F129/F127</f>
        <v/>
      </c>
      <c r="G131" s="101">
        <f>G129/G127</f>
        <v/>
      </c>
      <c r="H131" s="101">
        <f>H129/H127</f>
        <v/>
      </c>
    </row>
    <row r="132" customFormat="1" s="92"/>
    <row r="133" customFormat="1" s="92">
      <c r="E133" s="176" t="inlineStr">
        <is>
          <t>Scenario 2</t>
        </is>
      </c>
      <c r="F133" s="194" t="n"/>
      <c r="G133" s="194" t="n"/>
      <c r="H133" s="195" t="n"/>
    </row>
    <row r="134" customFormat="1" s="92">
      <c r="E134" s="176" t="inlineStr">
        <is>
          <t>2026 forecast with the project</t>
        </is>
      </c>
      <c r="F134" s="176" t="inlineStr">
        <is>
          <t>2027 forecast with the project</t>
        </is>
      </c>
      <c r="G134" s="176" t="inlineStr">
        <is>
          <t>2028 forecast with the project</t>
        </is>
      </c>
      <c r="H134" s="176" t="inlineStr">
        <is>
          <t>2029 forecast with the project</t>
        </is>
      </c>
    </row>
    <row r="135" customFormat="1" s="92">
      <c r="D135" s="184" t="n"/>
      <c r="E135" s="99">
        <f>E127*(1+$C$149)</f>
        <v/>
      </c>
      <c r="F135" s="99">
        <f>F127*(1+$C$149)</f>
        <v/>
      </c>
      <c r="G135" s="99">
        <f>G127*(1+$C$149)</f>
        <v/>
      </c>
      <c r="H135" s="99">
        <f>H127*(1+$C$149)</f>
        <v/>
      </c>
    </row>
    <row r="136" customFormat="1" s="92">
      <c r="D136" s="184" t="n"/>
      <c r="E136" s="100">
        <f>E135*E145</f>
        <v/>
      </c>
      <c r="F136" s="100">
        <f>F135*F145</f>
        <v/>
      </c>
      <c r="G136" s="100">
        <f>G135*G145</f>
        <v/>
      </c>
      <c r="H136" s="100">
        <f>H135*H145</f>
        <v/>
      </c>
    </row>
    <row r="137" customFormat="1" s="92">
      <c r="D137" s="184" t="n"/>
      <c r="E137" s="99">
        <f>E135-E136</f>
        <v/>
      </c>
      <c r="F137" s="99">
        <f>F135-F136</f>
        <v/>
      </c>
      <c r="G137" s="99">
        <f>G135-G136</f>
        <v/>
      </c>
      <c r="H137" s="99">
        <f>H135-H136</f>
        <v/>
      </c>
    </row>
    <row r="138" customFormat="1" s="92">
      <c r="D138" s="184" t="n"/>
      <c r="E138" s="101">
        <f>E137/E136</f>
        <v/>
      </c>
      <c r="F138" s="101">
        <f>F137/F136</f>
        <v/>
      </c>
      <c r="G138" s="5">
        <f>G137/G136</f>
        <v/>
      </c>
      <c r="H138" s="5">
        <f>H137/H136</f>
        <v/>
      </c>
    </row>
    <row r="139" customFormat="1" s="92">
      <c r="D139" s="184" t="n"/>
      <c r="E139" s="101">
        <f>E137/E135</f>
        <v/>
      </c>
      <c r="F139" s="101">
        <f>F137/F135</f>
        <v/>
      </c>
      <c r="G139" s="101">
        <f>G137/G135</f>
        <v/>
      </c>
      <c r="H139" s="101">
        <f>H137/H135</f>
        <v/>
      </c>
    </row>
    <row r="140" customFormat="1" s="92">
      <c r="E140" s="103" t="n"/>
      <c r="F140" s="103" t="n"/>
    </row>
    <row r="141" customFormat="1" s="92">
      <c r="A141" s="92" t="inlineStr">
        <is>
          <t>To plan revenue in Scenario 1 (without the project), take the average data for the previous 3 years (using the moving average method).</t>
        </is>
      </c>
      <c r="E141" s="103" t="n"/>
      <c r="F141" s="103" t="n"/>
    </row>
    <row r="142" customFormat="1" s="92">
      <c r="A142" s="92" t="inlineStr">
        <is>
          <t>To plan costs for 2026, 2027, 2028, and 2029, determine what share of revenue costs represented over the previous 3 years (using the moving average method) and calculate the average value, which will be the forecast:</t>
        </is>
      </c>
    </row>
    <row r="143" customFormat="1" s="92"/>
    <row r="144" customFormat="1" s="92">
      <c r="A144" s="94" t="n"/>
      <c r="B144" s="176" t="n">
        <v>2023</v>
      </c>
      <c r="C144" s="176" t="n">
        <v>2024</v>
      </c>
      <c r="D144" s="176" t="n">
        <v>2025</v>
      </c>
      <c r="E144" s="176" t="inlineStr">
        <is>
          <t>Average (forecast for 2026)</t>
        </is>
      </c>
      <c r="F144" s="176" t="inlineStr">
        <is>
          <t>Average (forecast for 2027)</t>
        </is>
      </c>
      <c r="G144" s="176" t="inlineStr">
        <is>
          <t>Average (forecast for 2027)</t>
        </is>
      </c>
      <c r="H144" s="176" t="inlineStr">
        <is>
          <t>Average (forecast for 2027)</t>
        </is>
      </c>
    </row>
    <row r="145" customFormat="1" s="92">
      <c r="A145" s="94" t="inlineStr">
        <is>
          <t>Cost share in revenue</t>
        </is>
      </c>
      <c r="B145" s="101">
        <f>B128/B127</f>
        <v/>
      </c>
      <c r="C145" s="101">
        <f>C128/C127</f>
        <v/>
      </c>
      <c r="D145" s="101">
        <f>D128/D127</f>
        <v/>
      </c>
      <c r="E145" s="104">
        <f>AVERAGE(B145:D145)</f>
        <v/>
      </c>
      <c r="F145" s="104">
        <f>AVERAGE(C145:E145)</f>
        <v/>
      </c>
      <c r="G145" s="104">
        <f>AVERAGE(D145:F145)</f>
        <v/>
      </c>
      <c r="H145" s="104">
        <f>AVERAGE(E145:G145)</f>
        <v/>
      </c>
    </row>
    <row r="146" customFormat="1" s="92"/>
    <row r="147" customFormat="1" s="92"/>
    <row r="148" customFormat="1" s="92">
      <c r="A148" s="184" t="inlineStr">
        <is>
          <t>Project costs (investment):</t>
        </is>
      </c>
      <c r="C148" s="105" t="n">
        <v>40</v>
      </c>
    </row>
    <row r="149" customFormat="1" s="92">
      <c r="A149" s="184" t="inlineStr">
        <is>
          <t>Planned revenue growth due to the project:</t>
        </is>
      </c>
      <c r="C149" s="106" t="n">
        <v>0.09</v>
      </c>
      <c r="D149" s="92" t="inlineStr">
        <is>
          <t>annually</t>
        </is>
      </c>
    </row>
    <row r="150" customFormat="1" s="92"/>
    <row r="151" customFormat="1" s="92">
      <c r="D151" s="188" t="inlineStr">
        <is>
          <t>Let us calculate the effect (profit) of the implemented project by year</t>
        </is>
      </c>
    </row>
    <row r="152" customFormat="1" s="92"/>
    <row r="153" customFormat="1" s="92">
      <c r="D153" s="94" t="n"/>
      <c r="E153" s="176" t="n">
        <v>2026</v>
      </c>
      <c r="F153" s="176" t="n">
        <v>2027</v>
      </c>
      <c r="G153" s="176" t="n">
        <v>2028</v>
      </c>
      <c r="H153" s="176" t="n">
        <v>2029</v>
      </c>
    </row>
    <row r="154" customFormat="1" s="92">
      <c r="D154" s="94" t="inlineStr">
        <is>
          <t>Effect (profit)</t>
        </is>
      </c>
      <c r="E154" s="99">
        <f>E137-E129</f>
        <v/>
      </c>
      <c r="F154" s="99">
        <f>F137-F129</f>
        <v/>
      </c>
      <c r="G154" s="99">
        <f>G137-G129</f>
        <v/>
      </c>
      <c r="H154" s="99">
        <f>H137-H129</f>
        <v/>
      </c>
    </row>
    <row r="155" customFormat="1" s="92">
      <c r="D155" s="94" t="inlineStr">
        <is>
          <t>Total effect</t>
        </is>
      </c>
      <c r="E155" s="186">
        <f>SUM(E154:H154)-C148</f>
        <v/>
      </c>
      <c r="F155" s="194" t="n"/>
      <c r="G155" s="194" t="n"/>
      <c r="H155" s="195" t="n"/>
    </row>
    <row r="156" customFormat="1" s="92">
      <c r="E156" s="110" t="inlineStr">
        <is>
          <t>Subtract the project investment amount from the total effect</t>
        </is>
      </c>
    </row>
    <row r="157" customFormat="1" s="92"/>
    <row r="158" customFormat="1" s="92">
      <c r="A158" s="92" t="inlineStr">
        <is>
          <t>Let us calculate the efficiency of our investment in the project. If the value is above zero, the project covers its costs and additionally yields that percentage return on the investment</t>
        </is>
      </c>
    </row>
    <row r="159" customFormat="1" s="92">
      <c r="A159" s="184" t="inlineStr">
        <is>
          <t>Efficiency (ROI):</t>
        </is>
      </c>
      <c r="C159" s="2">
        <f>(E155-C148)/C148</f>
        <v/>
      </c>
    </row>
    <row r="160" customFormat="1" s="92"/>
    <row r="161" customFormat="1" s="92">
      <c r="A161" s="184" t="inlineStr">
        <is>
          <t>Payback period:</t>
        </is>
      </c>
      <c r="C161" s="107">
        <f>C148/E155*4</f>
        <v/>
      </c>
      <c r="D161" s="92" t="inlineStr">
        <is>
          <t>years</t>
        </is>
      </c>
    </row>
    <row r="162" customFormat="1" s="92"/>
    <row r="163" customFormat="1" s="92">
      <c r="A163" s="92" t="inlineStr">
        <is>
          <t>Let us compare the return on investing in this project with alternative risk-free investments (a bank deposit) by calculating net present value (NPV)</t>
        </is>
      </c>
    </row>
    <row r="164" customFormat="1" s="92">
      <c r="A164" s="184" t="inlineStr">
        <is>
          <t>Annual deposit rate:</t>
        </is>
      </c>
      <c r="C164" s="108" t="n">
        <v>0.1</v>
      </c>
    </row>
    <row r="165" customFormat="1" s="92"/>
    <row r="166" customFormat="1" s="92">
      <c r="E166" s="176" t="inlineStr">
        <is>
          <t>Scenario 2 (project), NPV calculation</t>
        </is>
      </c>
      <c r="F166" s="194" t="n"/>
      <c r="G166" s="194" t="n"/>
      <c r="H166" s="195" t="n"/>
    </row>
    <row r="167" customFormat="1" s="92">
      <c r="E167" s="176" t="inlineStr">
        <is>
          <t>Discounted income (PV) 2026</t>
        </is>
      </c>
      <c r="F167" s="176" t="inlineStr">
        <is>
          <t>Discounted income (PV) 2027</t>
        </is>
      </c>
      <c r="G167" s="176" t="inlineStr">
        <is>
          <t>Discounted income (PV) 2028</t>
        </is>
      </c>
      <c r="H167" s="176" t="inlineStr">
        <is>
          <t>Discounted income (PV) 2029</t>
        </is>
      </c>
    </row>
    <row r="168" customFormat="1" s="92">
      <c r="E168" s="99">
        <f>E154/(1+$C$164)^1</f>
        <v/>
      </c>
      <c r="F168" s="99">
        <f>F154/(1+$C$164)^2</f>
        <v/>
      </c>
      <c r="G168" s="99">
        <f>G154/(1+$C$164)^3</f>
        <v/>
      </c>
      <c r="H168" s="99">
        <f>H154/(1+$C$164)^4</f>
        <v/>
      </c>
    </row>
    <row r="169" customFormat="1" s="92"/>
    <row r="170" customFormat="1" s="92">
      <c r="E170" s="184" t="inlineStr">
        <is>
          <t>NPV</t>
        </is>
      </c>
      <c r="F170" s="1">
        <f>-C148+SUM(E168:H168)</f>
        <v/>
      </c>
      <c r="G170" s="110" t="inlineStr">
        <is>
          <t>if the indicator is above zero, the project return is higher than alternative risk-free investments</t>
        </is>
      </c>
    </row>
    <row r="171" customFormat="1" s="92">
      <c r="E171" s="184" t="inlineStr">
        <is>
          <t>FV</t>
        </is>
      </c>
      <c r="F171" s="109">
        <f>F170*(1+C164)^4</f>
        <v/>
      </c>
      <c r="G171" s="110" t="inlineStr">
        <is>
          <t>convert it using the compound interest formula to verify the calculation</t>
        </is>
      </c>
    </row>
    <row r="172" customFormat="1" s="92">
      <c r="E172" s="184" t="n"/>
      <c r="F172" s="109" t="n"/>
    </row>
    <row r="173" customFormat="1" s="92">
      <c r="A173" s="92" t="inlineStr">
        <is>
          <t>For verification, let us make the reverse calculation for the NPV of Scenario 2 (the project), where we calculate future-period income (FV) taking into account annual reinvestment of project income into the bank</t>
        </is>
      </c>
      <c r="E173" s="184" t="n"/>
      <c r="F173" s="109" t="n"/>
    </row>
    <row r="174" customFormat="1" s="92">
      <c r="E174" s="184" t="n"/>
      <c r="F174" s="109" t="n"/>
    </row>
    <row r="175" customFormat="1" s="92">
      <c r="E175" s="176" t="inlineStr">
        <is>
          <t>Scenario 2 (project), FV calculation</t>
        </is>
      </c>
      <c r="F175" s="194" t="n"/>
      <c r="G175" s="194" t="n"/>
      <c r="H175" s="195" t="n"/>
    </row>
    <row r="176" customFormat="1" s="92">
      <c r="E176" s="176" t="inlineStr">
        <is>
          <t>Future value (FV) 2026</t>
        </is>
      </c>
      <c r="F176" s="176" t="inlineStr">
        <is>
          <t>Future value (FV) 2027</t>
        </is>
      </c>
      <c r="G176" s="176" t="inlineStr">
        <is>
          <t>Future value (FV) 2028</t>
        </is>
      </c>
      <c r="H176" s="176" t="inlineStr">
        <is>
          <t>Future value (FV) 2029</t>
        </is>
      </c>
    </row>
    <row r="177" customFormat="1" s="92">
      <c r="E177" s="99">
        <f>E154*(1+$C$164)^3</f>
        <v/>
      </c>
      <c r="F177" s="99">
        <f>F154*(1+$C$164)^2</f>
        <v/>
      </c>
      <c r="G177" s="99">
        <f>G154*(1+$C$164)^1</f>
        <v/>
      </c>
      <c r="H177" s="99">
        <f>H154</f>
        <v/>
      </c>
    </row>
    <row r="178" customFormat="1" s="92"/>
    <row r="179" customFormat="1" s="92">
      <c r="E179" s="184" t="inlineStr">
        <is>
          <t>Project income including bank income</t>
        </is>
      </c>
      <c r="F179" s="111">
        <f>SUM(E177:H177)-C148</f>
        <v/>
      </c>
    </row>
    <row r="180" customFormat="1" s="92">
      <c r="E180" s="184" t="inlineStr">
        <is>
          <t>Bank income without the project</t>
        </is>
      </c>
      <c r="F180" s="111">
        <f>C148*(1+C164)^4-C148</f>
        <v/>
      </c>
    </row>
    <row r="181" customFormat="1" s="92">
      <c r="E181" s="184" t="inlineStr">
        <is>
          <t>Difference (FV)</t>
        </is>
      </c>
      <c r="F181" s="109">
        <f>F179-F180</f>
        <v/>
      </c>
      <c r="G181" s="110" t="inlineStr">
        <is>
          <t>the indicator matches FV, so the NPV calculation is correct</t>
        </is>
      </c>
    </row>
    <row r="182" customFormat="1" s="92">
      <c r="E182" s="184" t="n"/>
      <c r="F182" s="112" t="n"/>
    </row>
    <row r="183" customFormat="1" s="92">
      <c r="E183" s="184" t="n"/>
      <c r="F183" s="113" t="n"/>
    </row>
    <row r="184" customFormat="1" s="114">
      <c r="E184" s="115" t="n"/>
      <c r="F184" s="116" t="n"/>
    </row>
    <row r="185" ht="21" customFormat="1" customHeight="1" s="118">
      <c r="A185" s="117" t="inlineStr">
        <is>
          <t>EXAMPLE 7 (BREAK-EVEN POINT CALCULATION)</t>
        </is>
      </c>
    </row>
    <row r="186" customFormat="1" s="118"/>
    <row r="187" customFormat="1" s="118">
      <c r="A187" s="119" t="inlineStr">
        <is>
          <t>Examples of fixed costs</t>
        </is>
      </c>
      <c r="B187" s="120" t="n"/>
      <c r="D187" s="121" t="inlineStr">
        <is>
          <t>Break-even point formula</t>
        </is>
      </c>
    </row>
    <row r="188" customFormat="1" s="118">
      <c r="A188" s="120" t="inlineStr">
        <is>
          <t>Rent</t>
        </is>
      </c>
      <c r="B188" s="122" t="n">
        <v>100</v>
      </c>
      <c r="D188" s="118" t="inlineStr">
        <is>
          <t>Fixed costs / (Price per 1 service - variable costs per 1 service)</t>
        </is>
      </c>
    </row>
    <row r="189" customFormat="1" s="118">
      <c r="A189" s="120" t="inlineStr">
        <is>
          <t>Salaries</t>
        </is>
      </c>
      <c r="B189" s="122" t="n">
        <v>200</v>
      </c>
    </row>
    <row r="190" customFormat="1" s="118">
      <c r="A190" s="120" t="inlineStr">
        <is>
          <t>Advertising</t>
        </is>
      </c>
      <c r="B190" s="122" t="n">
        <v>250</v>
      </c>
    </row>
    <row r="191" customFormat="1" s="118">
      <c r="A191" s="123" t="inlineStr">
        <is>
          <t>Total fixed costs:</t>
        </is>
      </c>
      <c r="B191" s="124">
        <f>SUM(B188:B190)</f>
        <v/>
      </c>
    </row>
    <row r="192" customFormat="1" s="118"/>
    <row r="193" customFormat="1" s="118">
      <c r="A193" s="119" t="inlineStr">
        <is>
          <t>Examples of variable costs per 1 service</t>
        </is>
      </c>
      <c r="B193" s="120" t="n"/>
    </row>
    <row r="194" customFormat="1" s="118">
      <c r="A194" s="120" t="inlineStr">
        <is>
          <t>Bottle of water</t>
        </is>
      </c>
      <c r="B194" s="122" t="n">
        <v>2</v>
      </c>
    </row>
    <row r="195" customFormat="1" s="118">
      <c r="A195" s="120" t="inlineStr">
        <is>
          <t>Soap, shampoo, slippers</t>
        </is>
      </c>
      <c r="B195" s="122" t="n">
        <v>3</v>
      </c>
    </row>
    <row r="196" customFormat="1" s="118">
      <c r="A196" s="120" t="inlineStr">
        <is>
          <t>Laundry</t>
        </is>
      </c>
      <c r="B196" s="122" t="n">
        <v>4</v>
      </c>
    </row>
    <row r="197" customFormat="1" s="118">
      <c r="A197" s="123" t="inlineStr">
        <is>
          <t>Total variable costs:</t>
        </is>
      </c>
      <c r="B197" s="124">
        <f>SUM(B194:B196)</f>
        <v/>
      </c>
    </row>
    <row r="198" customFormat="1" s="118"/>
    <row r="199" customFormat="1" s="118"/>
    <row r="200" customFormat="1" s="118">
      <c r="A200" s="118" t="inlineStr">
        <is>
          <t>Price charged to the customer for 1 service</t>
        </is>
      </c>
      <c r="B200" s="125" t="n">
        <v>40</v>
      </c>
    </row>
    <row r="201" customFormat="1" s="118"/>
    <row r="202" customFormat="1" s="118">
      <c r="A202" s="118" t="inlineStr">
        <is>
          <t>Break-even point (quantity)</t>
        </is>
      </c>
      <c r="B202" s="68">
        <f>B191/(B200-B197)</f>
        <v/>
      </c>
      <c r="C202" s="118" t="inlineStr">
        <is>
          <t>services</t>
        </is>
      </c>
    </row>
    <row r="203" customFormat="1" s="118">
      <c r="A203" s="118" t="inlineStr">
        <is>
          <t>Break-even point (value)</t>
        </is>
      </c>
      <c r="B203" s="126">
        <f>B202*B200</f>
        <v/>
      </c>
      <c r="C203" s="118" t="inlineStr">
        <is>
          <t>currency units</t>
        </is>
      </c>
    </row>
    <row r="204" customFormat="1" s="118"/>
    <row r="205" customFormat="1" s="118"/>
    <row r="206" customFormat="1" s="44"/>
    <row r="207" ht="21" customFormat="1" customHeight="1" s="43">
      <c r="A207" s="85" t="inlineStr">
        <is>
          <t>EXAMPLE 8 (CALCULATION OF KEY HOTEL METRICS)</t>
        </is>
      </c>
    </row>
    <row r="208" customFormat="1" s="43"/>
    <row r="209" customFormat="1" s="43">
      <c r="A209" s="127" t="inlineStr">
        <is>
          <t>2025. Date</t>
        </is>
      </c>
      <c r="B209" s="43" t="inlineStr">
        <is>
          <t>January 1</t>
        </is>
      </c>
    </row>
    <row r="210" customFormat="1" s="43">
      <c r="A210" s="46" t="n"/>
      <c r="B210" s="48" t="inlineStr">
        <is>
          <t>Total</t>
        </is>
      </c>
      <c r="C210" s="48" t="inlineStr">
        <is>
          <t>Sold</t>
        </is>
      </c>
      <c r="D210" s="48" t="inlineStr">
        <is>
          <t>Guests</t>
        </is>
      </c>
      <c r="E210" s="48" t="inlineStr">
        <is>
          <t>Price per room per day</t>
        </is>
      </c>
      <c r="F210" s="48" t="inlineStr">
        <is>
          <t>Revenue per room per day</t>
        </is>
      </c>
      <c r="G210" s="128" t="n"/>
    </row>
    <row r="211" customFormat="1" s="43">
      <c r="A211" s="46" t="inlineStr">
        <is>
          <t>Single rooms</t>
        </is>
      </c>
      <c r="B211" s="50" t="n">
        <v>6</v>
      </c>
      <c r="C211" s="50" t="n">
        <v>4</v>
      </c>
      <c r="D211" s="50" t="n">
        <v>4</v>
      </c>
      <c r="E211" s="50" t="n">
        <v>14</v>
      </c>
      <c r="F211" s="53">
        <f>E211*C211</f>
        <v/>
      </c>
      <c r="G211" s="128" t="n"/>
    </row>
    <row r="212" customFormat="1" s="43">
      <c r="A212" s="46" t="inlineStr">
        <is>
          <t>Double rooms</t>
        </is>
      </c>
      <c r="B212" s="50" t="n">
        <v>30</v>
      </c>
      <c r="C212" s="50" t="n">
        <v>26</v>
      </c>
      <c r="D212" s="50" t="n">
        <v>50</v>
      </c>
      <c r="E212" s="50" t="n">
        <v>20</v>
      </c>
      <c r="F212" s="53">
        <f>E212*C212</f>
        <v/>
      </c>
    </row>
    <row r="213" customFormat="1" s="43">
      <c r="A213" s="46" t="inlineStr">
        <is>
          <t>Junior suites</t>
        </is>
      </c>
      <c r="B213" s="50" t="n">
        <v>10</v>
      </c>
      <c r="C213" s="50" t="n">
        <v>2</v>
      </c>
      <c r="D213" s="50" t="n">
        <v>1</v>
      </c>
      <c r="E213" s="50" t="n">
        <v>25</v>
      </c>
      <c r="F213" s="53">
        <f>E213*C213</f>
        <v/>
      </c>
    </row>
    <row r="214" customFormat="1" s="43">
      <c r="A214" s="46" t="inlineStr">
        <is>
          <t>Suites</t>
        </is>
      </c>
      <c r="B214" s="50" t="n">
        <v>4</v>
      </c>
      <c r="C214" s="50" t="n">
        <v>0</v>
      </c>
      <c r="D214" s="50" t="n">
        <v>0</v>
      </c>
      <c r="E214" s="50" t="n">
        <v>35</v>
      </c>
      <c r="F214" s="53">
        <f>E214*C214</f>
        <v/>
      </c>
    </row>
    <row r="215" customFormat="1" s="43">
      <c r="A215" s="46" t="inlineStr">
        <is>
          <t>Total</t>
        </is>
      </c>
      <c r="B215" s="53">
        <f>SUM(B211:B214)</f>
        <v/>
      </c>
      <c r="C215" s="53">
        <f>SUM(C211:C214)</f>
        <v/>
      </c>
      <c r="D215" s="53">
        <f>SUM(D211:D214)</f>
        <v/>
      </c>
      <c r="E215" s="48" t="inlineStr">
        <is>
          <t>-</t>
        </is>
      </c>
      <c r="F215" s="53">
        <f>SUM(F211:F214)</f>
        <v/>
      </c>
    </row>
    <row r="216" customFormat="1" s="43">
      <c r="B216" s="129" t="n"/>
      <c r="C216" s="129" t="n"/>
      <c r="D216" s="129" t="n"/>
      <c r="E216" s="128" t="n"/>
      <c r="F216" s="129" t="n"/>
    </row>
    <row r="217" customFormat="1" s="43">
      <c r="A217" s="127" t="inlineStr">
        <is>
          <t>2025. Date</t>
        </is>
      </c>
      <c r="B217" s="43" t="inlineStr">
        <is>
          <t>January 2</t>
        </is>
      </c>
    </row>
    <row r="218" customFormat="1" s="43">
      <c r="A218" s="46" t="n"/>
      <c r="B218" s="48" t="inlineStr">
        <is>
          <t>Total</t>
        </is>
      </c>
      <c r="C218" s="48" t="inlineStr">
        <is>
          <t>Sold</t>
        </is>
      </c>
      <c r="D218" s="48" t="inlineStr">
        <is>
          <t>Guests</t>
        </is>
      </c>
      <c r="E218" s="48" t="inlineStr">
        <is>
          <t>Price per room per day</t>
        </is>
      </c>
      <c r="F218" s="48" t="inlineStr">
        <is>
          <t>Revenue per room per day</t>
        </is>
      </c>
    </row>
    <row r="219" customFormat="1" s="43">
      <c r="A219" s="46" t="inlineStr">
        <is>
          <t>Single rooms</t>
        </is>
      </c>
      <c r="B219" s="50" t="n">
        <v>6</v>
      </c>
      <c r="C219" s="50" t="n">
        <v>3</v>
      </c>
      <c r="D219" s="50" t="n">
        <v>3</v>
      </c>
      <c r="E219" s="50" t="n">
        <v>14</v>
      </c>
      <c r="F219" s="53">
        <f>E219*C219</f>
        <v/>
      </c>
    </row>
    <row r="220" customFormat="1" s="43">
      <c r="A220" s="46" t="inlineStr">
        <is>
          <t>Double rooms</t>
        </is>
      </c>
      <c r="B220" s="50" t="n">
        <v>30</v>
      </c>
      <c r="C220" s="50" t="n">
        <v>30</v>
      </c>
      <c r="D220" s="50" t="n">
        <v>60</v>
      </c>
      <c r="E220" s="50" t="n">
        <v>20</v>
      </c>
      <c r="F220" s="53">
        <f>E220*C220</f>
        <v/>
      </c>
    </row>
    <row r="221" customFormat="1" s="43">
      <c r="A221" s="46" t="inlineStr">
        <is>
          <t>Junior suites</t>
        </is>
      </c>
      <c r="B221" s="50" t="n">
        <v>10</v>
      </c>
      <c r="C221" s="50" t="n">
        <v>4</v>
      </c>
      <c r="D221" s="50" t="n">
        <v>4</v>
      </c>
      <c r="E221" s="50" t="n">
        <v>25</v>
      </c>
      <c r="F221" s="53">
        <f>E221*C221</f>
        <v/>
      </c>
    </row>
    <row r="222" customFormat="1" s="43">
      <c r="A222" s="46" t="inlineStr">
        <is>
          <t>Suites</t>
        </is>
      </c>
      <c r="B222" s="50" t="n">
        <v>4</v>
      </c>
      <c r="C222" s="50" t="n">
        <v>0</v>
      </c>
      <c r="D222" s="50" t="n">
        <v>0</v>
      </c>
      <c r="E222" s="50" t="n">
        <v>35</v>
      </c>
      <c r="F222" s="53">
        <f>E222*C222</f>
        <v/>
      </c>
    </row>
    <row r="223" customFormat="1" s="43">
      <c r="A223" s="46" t="inlineStr">
        <is>
          <t>Total</t>
        </is>
      </c>
      <c r="B223" s="53">
        <f>SUM(B219:B222)</f>
        <v/>
      </c>
      <c r="C223" s="53">
        <f>SUM(C219:C222)</f>
        <v/>
      </c>
      <c r="D223" s="53">
        <f>SUM(D219:D222)</f>
        <v/>
      </c>
      <c r="E223" s="48" t="inlineStr">
        <is>
          <t>-</t>
        </is>
      </c>
      <c r="F223" s="53">
        <f>SUM(F219:F222)</f>
        <v/>
      </c>
    </row>
    <row r="224" customFormat="1" s="43">
      <c r="B224" s="130" t="n"/>
      <c r="C224" s="130" t="n"/>
      <c r="D224" s="130" t="n"/>
      <c r="E224" s="130" t="n"/>
      <c r="F224" s="129" t="n"/>
    </row>
    <row r="225" customFormat="1" s="43">
      <c r="A225" s="46" t="inlineStr">
        <is>
          <t>Additional services</t>
        </is>
      </c>
      <c r="B225" s="48" t="inlineStr">
        <is>
          <t>Price per guest</t>
        </is>
      </c>
      <c r="C225" s="48" t="inlineStr">
        <is>
          <t>Sold on 01.01</t>
        </is>
      </c>
      <c r="D225" s="48" t="inlineStr">
        <is>
          <t>Sold on 02.01</t>
        </is>
      </c>
      <c r="E225" s="48" t="inlineStr">
        <is>
          <t>Revenue</t>
        </is>
      </c>
      <c r="F225" s="129" t="n"/>
    </row>
    <row r="226" customFormat="1" s="43">
      <c r="A226" s="46" t="inlineStr">
        <is>
          <t>Breakfast</t>
        </is>
      </c>
      <c r="B226" s="50" t="n">
        <v>2</v>
      </c>
      <c r="C226" s="50" t="n">
        <v>40</v>
      </c>
      <c r="D226" s="50" t="n">
        <v>45</v>
      </c>
      <c r="E226" s="53">
        <f>SUM(C226:D226)*B226</f>
        <v/>
      </c>
      <c r="F226" s="129" t="n"/>
    </row>
    <row r="227" customFormat="1" s="43">
      <c r="A227" s="46" t="inlineStr">
        <is>
          <t>SPA</t>
        </is>
      </c>
      <c r="B227" s="50" t="n">
        <v>5</v>
      </c>
      <c r="C227" s="50" t="n">
        <v>5</v>
      </c>
      <c r="D227" s="50" t="n">
        <v>6</v>
      </c>
      <c r="E227" s="53">
        <f>SUM(C227:D227)*B227</f>
        <v/>
      </c>
      <c r="F227" s="129" t="n"/>
    </row>
    <row r="228" customFormat="1" s="43">
      <c r="A228" s="46" t="inlineStr">
        <is>
          <t>Total</t>
        </is>
      </c>
      <c r="B228" s="48" t="inlineStr">
        <is>
          <t>-</t>
        </is>
      </c>
      <c r="C228" s="48" t="inlineStr">
        <is>
          <t>-</t>
        </is>
      </c>
      <c r="D228" s="48" t="inlineStr">
        <is>
          <t>-</t>
        </is>
      </c>
      <c r="E228" s="53">
        <f>SUM(E226:E227)</f>
        <v/>
      </c>
      <c r="F228" s="129" t="n"/>
    </row>
    <row r="229" customFormat="1" s="43">
      <c r="B229" s="130" t="n"/>
      <c r="C229" s="130" t="n"/>
      <c r="D229" s="130" t="n"/>
      <c r="E229" s="130" t="n"/>
      <c r="F229" s="129" t="n"/>
    </row>
    <row r="230" customFormat="1" s="43">
      <c r="A230" s="43" t="inlineStr">
        <is>
          <t>Statistics for the remaining days are compiled in the same way. For simplicity, assume that the hotel operated for:</t>
        </is>
      </c>
      <c r="B230" s="130" t="n"/>
      <c r="C230" s="130" t="n"/>
      <c r="D230" s="130" t="n"/>
      <c r="E230" s="130" t="n"/>
      <c r="F230" s="129" t="n"/>
    </row>
    <row r="231" customFormat="1" s="43">
      <c r="A231" s="43" t="n">
        <v>2</v>
      </c>
      <c r="B231" s="131" t="inlineStr">
        <is>
          <t>days</t>
        </is>
      </c>
      <c r="C231" s="130" t="n"/>
      <c r="D231" s="130" t="n"/>
      <c r="E231" s="130" t="n"/>
      <c r="F231" s="129" t="n"/>
    </row>
    <row r="232" customFormat="1" s="43">
      <c r="B232" s="131" t="n"/>
      <c r="C232" s="130" t="n"/>
      <c r="D232" s="130" t="n"/>
      <c r="E232" s="130" t="n"/>
      <c r="F232" s="129" t="n"/>
    </row>
    <row r="233" customFormat="1" s="43">
      <c r="A233" s="167" t="inlineStr">
        <is>
          <t>Total hotel revenue (Total Revenue)</t>
        </is>
      </c>
      <c r="B233" s="194" t="n"/>
      <c r="C233" s="195" t="n"/>
      <c r="D233" s="53">
        <f>F215+F223+E228</f>
        <v/>
      </c>
    </row>
    <row r="234" customFormat="1" s="43">
      <c r="A234" s="167" t="inlineStr">
        <is>
          <t>Revenue from sold rooms (Room Revenue)</t>
        </is>
      </c>
      <c r="B234" s="194" t="n"/>
      <c r="C234" s="195" t="n"/>
      <c r="D234" s="53">
        <f>F215+F223</f>
        <v/>
      </c>
    </row>
    <row r="235" customFormat="1" s="43">
      <c r="A235" s="167" t="inlineStr">
        <is>
          <t>Total number of rooms in the hotel (Total Rooms)</t>
        </is>
      </c>
      <c r="B235" s="194" t="n"/>
      <c r="C235" s="195" t="n"/>
      <c r="D235" s="53">
        <f>AVERAGE(B215,B223)</f>
        <v/>
      </c>
    </row>
    <row r="236" customFormat="1" s="43">
      <c r="A236" s="167" t="inlineStr">
        <is>
          <t>Total room-days available in the hotel (Rooms Available)</t>
        </is>
      </c>
      <c r="B236" s="194" t="n"/>
      <c r="C236" s="195" t="n"/>
      <c r="D236" s="53">
        <f>D235*A231</f>
        <v/>
      </c>
    </row>
    <row r="237" customFormat="1" s="43">
      <c r="A237" s="167" t="inlineStr">
        <is>
          <t>Rooms sold (Occupied Rooms)</t>
        </is>
      </c>
      <c r="B237" s="194" t="n"/>
      <c r="C237" s="195" t="n"/>
      <c r="D237" s="53">
        <f>C215+C223</f>
        <v/>
      </c>
    </row>
    <row r="238" customFormat="1" s="43">
      <c r="A238" s="167" t="inlineStr">
        <is>
          <t>Hotel occupancy (Occupancy)</t>
        </is>
      </c>
      <c r="B238" s="194" t="n"/>
      <c r="C238" s="195" t="n"/>
      <c r="D238" s="132">
        <f>D237/D236</f>
        <v/>
      </c>
    </row>
    <row r="239" customFormat="1" s="43">
      <c r="A239" s="167" t="inlineStr">
        <is>
          <t>Average number of guests per occupied room (Double Occupancy)</t>
        </is>
      </c>
      <c r="B239" s="194" t="n"/>
      <c r="C239" s="195" t="n"/>
      <c r="D239" s="133">
        <f>(D215+D223)/(C215+C223)</f>
        <v/>
      </c>
    </row>
    <row r="240" customFormat="1" s="43">
      <c r="A240" s="167" t="inlineStr">
        <is>
          <t>Average revenue per sold room (ADR)</t>
        </is>
      </c>
      <c r="B240" s="194" t="n"/>
      <c r="C240" s="195" t="n"/>
      <c r="D240" s="133">
        <f>D234/(C215+C223)</f>
        <v/>
      </c>
    </row>
    <row r="241" customFormat="1" s="43">
      <c r="A241" s="167" t="inlineStr">
        <is>
          <t>Average revenue per available room (RevPAR)</t>
        </is>
      </c>
      <c r="B241" s="194" t="n"/>
      <c r="C241" s="195" t="n"/>
      <c r="D241" s="133">
        <f>D234/D235</f>
        <v/>
      </c>
    </row>
    <row r="242" customFormat="1" s="43">
      <c r="A242" s="167" t="inlineStr">
        <is>
          <t>Average revenue per guest (RevPAC)</t>
        </is>
      </c>
      <c r="B242" s="194" t="n"/>
      <c r="C242" s="195" t="n"/>
      <c r="D242" s="133">
        <f>D233/(D215+D223)</f>
        <v/>
      </c>
    </row>
    <row r="243" customFormat="1" s="43"/>
    <row r="244" customFormat="1" s="43">
      <c r="A244" s="41" t="inlineStr">
        <is>
          <t>Suppose that next year the hotel wants to change its concept and attract groups of athletes participating in competitions at the nearby sports complex.</t>
        </is>
      </c>
    </row>
    <row r="245" customFormat="1" s="43">
      <c r="A245" s="43" t="inlineStr">
        <is>
          <t>To do this, it will lower prices but increase occupancy. How will this affect ADR, RevPAR, and RevPAC?</t>
        </is>
      </c>
    </row>
    <row r="246" customFormat="1" s="43">
      <c r="A246" s="127" t="inlineStr">
        <is>
          <t>Price reduction by:</t>
        </is>
      </c>
      <c r="B246" s="134" t="n">
        <v>0.25</v>
      </c>
      <c r="C246" s="43" t="inlineStr">
        <is>
          <t>compared with last year</t>
        </is>
      </c>
    </row>
    <row r="247" customFormat="1" s="43"/>
    <row r="248" customFormat="1" s="43">
      <c r="A248" s="127" t="inlineStr">
        <is>
          <t>2026. Date</t>
        </is>
      </c>
      <c r="B248" s="43" t="inlineStr">
        <is>
          <t>January 1</t>
        </is>
      </c>
    </row>
    <row r="249" customFormat="1" s="43">
      <c r="A249" s="46" t="n"/>
      <c r="B249" s="48" t="inlineStr">
        <is>
          <t>Total</t>
        </is>
      </c>
      <c r="C249" s="48" t="inlineStr">
        <is>
          <t>Sold</t>
        </is>
      </c>
      <c r="D249" s="48" t="inlineStr">
        <is>
          <t>Guests</t>
        </is>
      </c>
      <c r="E249" s="48" t="inlineStr">
        <is>
          <t>Price per room per day</t>
        </is>
      </c>
      <c r="F249" s="48" t="inlineStr">
        <is>
          <t>Revenue per room per day</t>
        </is>
      </c>
    </row>
    <row r="250" customFormat="1" s="43">
      <c r="A250" s="46" t="inlineStr">
        <is>
          <t>Single rooms</t>
        </is>
      </c>
      <c r="B250" s="50" t="n">
        <v>6</v>
      </c>
      <c r="C250" s="50" t="n">
        <v>6</v>
      </c>
      <c r="D250" s="50" t="n">
        <v>6</v>
      </c>
      <c r="E250" s="52">
        <f>E211-E211*$B$246</f>
        <v/>
      </c>
      <c r="F250" s="52">
        <f>E250*C250</f>
        <v/>
      </c>
    </row>
    <row r="251" customFormat="1" s="43">
      <c r="A251" s="46" t="inlineStr">
        <is>
          <t>Double rooms</t>
        </is>
      </c>
      <c r="B251" s="50" t="n">
        <v>30</v>
      </c>
      <c r="C251" s="50" t="n">
        <v>30</v>
      </c>
      <c r="D251" s="50" t="n">
        <v>60</v>
      </c>
      <c r="E251" s="52">
        <f>E212-E212*$B$246</f>
        <v/>
      </c>
      <c r="F251" s="52">
        <f>E251*C251</f>
        <v/>
      </c>
    </row>
    <row r="252" customFormat="1" s="43">
      <c r="A252" s="46" t="inlineStr">
        <is>
          <t>Junior suites</t>
        </is>
      </c>
      <c r="B252" s="50" t="n">
        <v>10</v>
      </c>
      <c r="C252" s="50" t="n">
        <v>8</v>
      </c>
      <c r="D252" s="50" t="n">
        <v>16</v>
      </c>
      <c r="E252" s="52">
        <f>E213-E213*$B$246</f>
        <v/>
      </c>
      <c r="F252" s="52">
        <f>E252*C252</f>
        <v/>
      </c>
    </row>
    <row r="253" customFormat="1" s="43">
      <c r="A253" s="46" t="inlineStr">
        <is>
          <t>Suites</t>
        </is>
      </c>
      <c r="B253" s="50" t="n">
        <v>4</v>
      </c>
      <c r="C253" s="50" t="n">
        <v>4</v>
      </c>
      <c r="D253" s="50" t="n">
        <v>4</v>
      </c>
      <c r="E253" s="52">
        <f>E214-E214*$B$246</f>
        <v/>
      </c>
      <c r="F253" s="52">
        <f>E253*C253</f>
        <v/>
      </c>
    </row>
    <row r="254" customFormat="1" s="43">
      <c r="A254" s="46" t="inlineStr">
        <is>
          <t>Total</t>
        </is>
      </c>
      <c r="B254" s="53">
        <f>SUM(B250:B253)</f>
        <v/>
      </c>
      <c r="C254" s="53">
        <f>SUM(C250:C253)</f>
        <v/>
      </c>
      <c r="D254" s="53">
        <f>SUM(D250:D253)</f>
        <v/>
      </c>
      <c r="E254" s="48" t="inlineStr">
        <is>
          <t>-</t>
        </is>
      </c>
      <c r="F254" s="52">
        <f>SUM(F250:F253)</f>
        <v/>
      </c>
    </row>
    <row r="255" customFormat="1" s="43">
      <c r="B255" s="129" t="n"/>
      <c r="C255" s="129" t="n"/>
      <c r="D255" s="129" t="n"/>
      <c r="E255" s="128" t="n"/>
      <c r="F255" s="129" t="n"/>
    </row>
    <row r="256" customFormat="1" s="43">
      <c r="A256" s="127" t="inlineStr">
        <is>
          <t>2026. Date</t>
        </is>
      </c>
      <c r="B256" s="43" t="inlineStr">
        <is>
          <t>January 2</t>
        </is>
      </c>
    </row>
    <row r="257" customFormat="1" s="43">
      <c r="A257" s="46" t="n"/>
      <c r="B257" s="48" t="inlineStr">
        <is>
          <t>Total</t>
        </is>
      </c>
      <c r="C257" s="48" t="inlineStr">
        <is>
          <t>Sold</t>
        </is>
      </c>
      <c r="D257" s="48" t="inlineStr">
        <is>
          <t>Guests</t>
        </is>
      </c>
      <c r="E257" s="48" t="inlineStr">
        <is>
          <t>Price per room per day</t>
        </is>
      </c>
      <c r="F257" s="48" t="inlineStr">
        <is>
          <t>Revenue per room per day</t>
        </is>
      </c>
    </row>
    <row r="258" customFormat="1" s="43">
      <c r="A258" s="46" t="inlineStr">
        <is>
          <t>Single rooms</t>
        </is>
      </c>
      <c r="B258" s="50" t="n">
        <v>6</v>
      </c>
      <c r="C258" s="50" t="n">
        <v>3</v>
      </c>
      <c r="D258" s="50" t="n">
        <v>3</v>
      </c>
      <c r="E258" s="52">
        <f>E219-E219*$B$246</f>
        <v/>
      </c>
      <c r="F258" s="52">
        <f>E258*C258</f>
        <v/>
      </c>
    </row>
    <row r="259" customFormat="1" s="43">
      <c r="A259" s="46" t="inlineStr">
        <is>
          <t>Double rooms</t>
        </is>
      </c>
      <c r="B259" s="50" t="n">
        <v>30</v>
      </c>
      <c r="C259" s="50" t="n">
        <v>30</v>
      </c>
      <c r="D259" s="50" t="n">
        <v>60</v>
      </c>
      <c r="E259" s="52">
        <f>E220-E220*$B$246</f>
        <v/>
      </c>
      <c r="F259" s="52">
        <f>E259*C259</f>
        <v/>
      </c>
    </row>
    <row r="260" customFormat="1" s="43">
      <c r="A260" s="46" t="inlineStr">
        <is>
          <t>Junior suites</t>
        </is>
      </c>
      <c r="B260" s="50" t="n">
        <v>10</v>
      </c>
      <c r="C260" s="50" t="n">
        <v>4</v>
      </c>
      <c r="D260" s="50" t="n">
        <v>4</v>
      </c>
      <c r="E260" s="52">
        <f>E221-E221*$B$246</f>
        <v/>
      </c>
      <c r="F260" s="52">
        <f>E260*C260</f>
        <v/>
      </c>
    </row>
    <row r="261" customFormat="1" s="43">
      <c r="A261" s="46" t="inlineStr">
        <is>
          <t>Suites</t>
        </is>
      </c>
      <c r="B261" s="50" t="n">
        <v>4</v>
      </c>
      <c r="C261" s="50" t="n">
        <v>0</v>
      </c>
      <c r="D261" s="50" t="n">
        <v>0</v>
      </c>
      <c r="E261" s="52">
        <f>E222-E222*$B$246</f>
        <v/>
      </c>
      <c r="F261" s="52">
        <f>E261*C261</f>
        <v/>
      </c>
    </row>
    <row r="262" customFormat="1" s="43">
      <c r="A262" s="46" t="inlineStr">
        <is>
          <t>Total</t>
        </is>
      </c>
      <c r="B262" s="53">
        <f>SUM(B258:B261)</f>
        <v/>
      </c>
      <c r="C262" s="53">
        <f>SUM(C258:C261)</f>
        <v/>
      </c>
      <c r="D262" s="53">
        <f>SUM(D258:D261)</f>
        <v/>
      </c>
      <c r="E262" s="48" t="inlineStr">
        <is>
          <t>-</t>
        </is>
      </c>
      <c r="F262" s="52">
        <f>SUM(F258:F261)</f>
        <v/>
      </c>
    </row>
    <row r="263" customFormat="1" s="43">
      <c r="B263" s="130" t="n"/>
      <c r="C263" s="130" t="n"/>
      <c r="D263" s="130" t="n"/>
      <c r="E263" s="130" t="n"/>
      <c r="F263" s="129" t="n"/>
    </row>
    <row r="264" customFormat="1" s="43">
      <c r="A264" s="46" t="inlineStr">
        <is>
          <t>Additional services</t>
        </is>
      </c>
      <c r="B264" s="48" t="inlineStr">
        <is>
          <t>Price per guest</t>
        </is>
      </c>
      <c r="C264" s="48" t="inlineStr">
        <is>
          <t>Sold on 01.01</t>
        </is>
      </c>
      <c r="D264" s="48" t="inlineStr">
        <is>
          <t>Sold on 02.01</t>
        </is>
      </c>
      <c r="E264" s="48" t="inlineStr">
        <is>
          <t>Revenue</t>
        </is>
      </c>
      <c r="F264" s="129" t="n"/>
    </row>
    <row r="265" customFormat="1" s="43">
      <c r="A265" s="46" t="inlineStr">
        <is>
          <t>Breakfast</t>
        </is>
      </c>
      <c r="B265" s="52">
        <f>B226-B226*$B$246</f>
        <v/>
      </c>
      <c r="C265" s="50" t="n">
        <v>84</v>
      </c>
      <c r="D265" s="50" t="n">
        <v>84</v>
      </c>
      <c r="E265" s="52">
        <f>SUM(C265:D265)*B265</f>
        <v/>
      </c>
      <c r="F265" s="129" t="n"/>
    </row>
    <row r="266" customFormat="1" s="43">
      <c r="A266" s="46" t="inlineStr">
        <is>
          <t>SPA</t>
        </is>
      </c>
      <c r="B266" s="52">
        <f>B227-B227*$B$246</f>
        <v/>
      </c>
      <c r="C266" s="50" t="n">
        <v>20</v>
      </c>
      <c r="D266" s="50" t="n">
        <v>0</v>
      </c>
      <c r="E266" s="52">
        <f>SUM(C266:D266)*B266</f>
        <v/>
      </c>
      <c r="F266" s="129" t="n"/>
    </row>
    <row r="267" customFormat="1" s="43">
      <c r="A267" s="46" t="inlineStr">
        <is>
          <t>Total</t>
        </is>
      </c>
      <c r="B267" s="48" t="inlineStr">
        <is>
          <t>-</t>
        </is>
      </c>
      <c r="C267" s="48" t="inlineStr">
        <is>
          <t>-</t>
        </is>
      </c>
      <c r="D267" s="48" t="inlineStr">
        <is>
          <t>-</t>
        </is>
      </c>
      <c r="E267" s="52">
        <f>SUM(E265:E266)</f>
        <v/>
      </c>
      <c r="F267" s="129" t="n"/>
    </row>
    <row r="268" customFormat="1" s="43">
      <c r="B268" s="130" t="n"/>
      <c r="C268" s="130" t="n"/>
      <c r="D268" s="130" t="n"/>
      <c r="E268" s="130" t="n"/>
      <c r="F268" s="129" t="n"/>
    </row>
    <row r="269" customFormat="1" s="43">
      <c r="A269" s="43" t="inlineStr">
        <is>
          <t>Statistics for the remaining days are compiled in the same way. For simplicity, assume that the hotel operated for:</t>
        </is>
      </c>
      <c r="B269" s="130" t="n"/>
      <c r="C269" s="130" t="n"/>
      <c r="D269" s="130" t="n"/>
      <c r="E269" s="130" t="n"/>
      <c r="F269" s="129" t="n"/>
    </row>
    <row r="270" customFormat="1" s="43">
      <c r="A270" s="43" t="n">
        <v>2</v>
      </c>
      <c r="B270" s="131" t="inlineStr">
        <is>
          <t>days</t>
        </is>
      </c>
      <c r="C270" s="130" t="n"/>
      <c r="D270" s="130" t="n"/>
      <c r="E270" s="130" t="n"/>
      <c r="F270" s="129" t="n"/>
    </row>
    <row r="271" customFormat="1" s="43">
      <c r="B271" s="131" t="n"/>
      <c r="C271" s="130" t="n"/>
      <c r="D271" s="130" t="n"/>
      <c r="E271" s="48" t="inlineStr">
        <is>
          <t>Deviation compared with 2025</t>
        </is>
      </c>
      <c r="F271" s="48" t="inlineStr">
        <is>
          <t>Deviation compared with 2025, %</t>
        </is>
      </c>
    </row>
    <row r="272" customFormat="1" s="43">
      <c r="A272" s="167" t="inlineStr">
        <is>
          <t>Total hotel revenue (Total Revenue)</t>
        </is>
      </c>
      <c r="B272" s="194" t="n"/>
      <c r="C272" s="195" t="n"/>
      <c r="D272" s="52">
        <f>F254+F262+E267</f>
        <v/>
      </c>
      <c r="E272" s="135">
        <f>D272-D233</f>
        <v/>
      </c>
      <c r="F272" s="132">
        <f>D272/D233-100%</f>
        <v/>
      </c>
    </row>
    <row r="273" customFormat="1" s="43">
      <c r="A273" s="167" t="inlineStr">
        <is>
          <t>Revenue from sold rooms (Room Revenue)</t>
        </is>
      </c>
      <c r="B273" s="194" t="n"/>
      <c r="C273" s="195" t="n"/>
      <c r="D273" s="52">
        <f>F254+F262</f>
        <v/>
      </c>
      <c r="E273" s="135">
        <f>D273-D234</f>
        <v/>
      </c>
      <c r="F273" s="132">
        <f>D273/D234-100%</f>
        <v/>
      </c>
    </row>
    <row r="274" customFormat="1" s="43">
      <c r="A274" s="167" t="inlineStr">
        <is>
          <t xml:space="preserve">Total number of rooms in the hotel </t>
        </is>
      </c>
      <c r="B274" s="194" t="n"/>
      <c r="C274" s="195" t="n"/>
      <c r="D274" s="53">
        <f>AVERAGE(B254,B262)</f>
        <v/>
      </c>
      <c r="E274" s="53">
        <f>AVERAGE(B254,B262)</f>
        <v/>
      </c>
      <c r="F274" s="132">
        <f>D274/D235-100%</f>
        <v/>
      </c>
    </row>
    <row r="275" customFormat="1" s="43">
      <c r="A275" s="167" t="inlineStr">
        <is>
          <t>Total room-days available in the hotel</t>
        </is>
      </c>
      <c r="B275" s="194" t="n"/>
      <c r="C275" s="195" t="n"/>
      <c r="D275" s="53">
        <f>D274*A270</f>
        <v/>
      </c>
      <c r="E275" s="135">
        <f>D275-D236</f>
        <v/>
      </c>
      <c r="F275" s="132">
        <f>D275/D236-100%</f>
        <v/>
      </c>
    </row>
    <row r="276" customFormat="1" s="43">
      <c r="A276" s="167" t="inlineStr">
        <is>
          <t>Rooms sold</t>
        </is>
      </c>
      <c r="B276" s="194" t="n"/>
      <c r="C276" s="195" t="n"/>
      <c r="D276" s="53">
        <f>C254+C262</f>
        <v/>
      </c>
      <c r="E276" s="135">
        <f>D276-D237</f>
        <v/>
      </c>
      <c r="F276" s="132">
        <f>D276/D237-100%</f>
        <v/>
      </c>
    </row>
    <row r="277" customFormat="1" s="43">
      <c r="A277" s="167" t="inlineStr">
        <is>
          <t>Hotel occupancy (Occupancy)</t>
        </is>
      </c>
      <c r="B277" s="194" t="n"/>
      <c r="C277" s="195" t="n"/>
      <c r="D277" s="132">
        <f>D276/D275</f>
        <v/>
      </c>
      <c r="E277" s="132">
        <f>D276/D275-D237/D236</f>
        <v/>
      </c>
      <c r="F277" s="132">
        <f>D277/D238-100%</f>
        <v/>
      </c>
    </row>
    <row r="278" customFormat="1" s="43">
      <c r="A278" s="167" t="inlineStr">
        <is>
          <t>Average number of guests per occupied room (Double Occupancy)</t>
        </is>
      </c>
      <c r="B278" s="194" t="n"/>
      <c r="C278" s="195" t="n"/>
      <c r="D278" s="133">
        <f>(D254+D262)/(C254+C262)</f>
        <v/>
      </c>
      <c r="E278" s="135">
        <f>D278-D239</f>
        <v/>
      </c>
      <c r="F278" s="132">
        <f>D278/D239-100%</f>
        <v/>
      </c>
    </row>
    <row r="279" customFormat="1" s="43">
      <c r="A279" s="167" t="inlineStr">
        <is>
          <t>Average revenue per sold room (ADR)</t>
        </is>
      </c>
      <c r="B279" s="194" t="n"/>
      <c r="C279" s="195" t="n"/>
      <c r="D279" s="133">
        <f>D273/(C254+C262)</f>
        <v/>
      </c>
      <c r="E279" s="135">
        <f>D279-D240</f>
        <v/>
      </c>
      <c r="F279" s="132">
        <f>D279/D240-100%</f>
        <v/>
      </c>
    </row>
    <row r="280" customFormat="1" s="43">
      <c r="A280" s="167" t="inlineStr">
        <is>
          <t>Average revenue per available room (RevPAR)</t>
        </is>
      </c>
      <c r="B280" s="194" t="n"/>
      <c r="C280" s="195" t="n"/>
      <c r="D280" s="133">
        <f>D273/D274</f>
        <v/>
      </c>
      <c r="E280" s="135">
        <f>D280-D241</f>
        <v/>
      </c>
      <c r="F280" s="5">
        <f>D280/D241-100%</f>
        <v/>
      </c>
    </row>
    <row r="281" customFormat="1" s="43">
      <c r="A281" s="167" t="inlineStr">
        <is>
          <t>Average revenue per guest (RevPAC)</t>
        </is>
      </c>
      <c r="B281" s="194" t="n"/>
      <c r="C281" s="195" t="n"/>
      <c r="D281" s="133">
        <f>D272/(D254+D262)</f>
        <v/>
      </c>
      <c r="E281" s="135">
        <f>D281-D242</f>
        <v/>
      </c>
      <c r="F281" s="132">
        <f>D281/D242-100%</f>
        <v/>
      </c>
    </row>
    <row r="282" customFormat="1" s="43"/>
    <row r="283" customFormat="1" s="43"/>
    <row r="284" customFormat="1" s="43"/>
    <row r="285" customFormat="1" s="139"/>
    <row r="286" ht="21" customFormat="1" customHeight="1" s="141">
      <c r="A286" s="140" t="inlineStr">
        <is>
          <t>EXAMPLE 9 (CALCULATION OF SOCIAL AND ECONOMIC EFFICIENCY)</t>
        </is>
      </c>
    </row>
    <row r="287" ht="14.4" customFormat="1" customHeight="1" s="141">
      <c r="A287" s="140" t="n"/>
    </row>
    <row r="288" customFormat="1" s="142">
      <c r="A288" s="142" t="inlineStr">
        <is>
          <t>Example of calculating social efficiency when measures to change the staff motivation system are implemented</t>
        </is>
      </c>
    </row>
    <row r="289" customFormat="1" s="142"/>
    <row r="290" customFormat="1" s="141">
      <c r="A290" s="189" t="inlineStr">
        <is>
          <t>Average headcount for the year</t>
        </is>
      </c>
      <c r="D290" s="143" t="n">
        <v>50</v>
      </c>
      <c r="E290" s="142" t="inlineStr">
        <is>
          <t>Staff turnover rate formula</t>
        </is>
      </c>
    </row>
    <row r="291" customFormat="1" s="141">
      <c r="A291" s="189" t="inlineStr">
        <is>
          <t>Number of employees dismissed during the year</t>
        </is>
      </c>
      <c r="D291" s="143" t="n">
        <v>25</v>
      </c>
      <c r="E291" s="141" t="inlineStr">
        <is>
          <t>Number of employees dismissed during the year / average headcount for the year</t>
        </is>
      </c>
    </row>
    <row r="292" customFormat="1" s="141">
      <c r="A292" s="189" t="inlineStr">
        <is>
          <t>Staff turnover rate</t>
        </is>
      </c>
      <c r="D292" s="161">
        <f>D291/D290</f>
        <v/>
      </c>
    </row>
    <row r="293" customFormat="1" s="141">
      <c r="A293" s="189" t="n"/>
      <c r="D293" s="143" t="n"/>
    </row>
    <row r="294" customFormat="1" s="141">
      <c r="A294" s="189" t="inlineStr">
        <is>
          <t>Expected reduction in staff turnover rate</t>
        </is>
      </c>
      <c r="D294" s="145" t="n">
        <v>0.2</v>
      </c>
      <c r="E294" s="142" t="inlineStr">
        <is>
          <t>Formula for the staff turnover rate after implementation of the measure</t>
        </is>
      </c>
    </row>
    <row r="295" customFormat="1" s="141">
      <c r="E295" s="141" t="inlineStr">
        <is>
          <t>Rate before implementation * (1 - expected reduction)</t>
        </is>
      </c>
    </row>
    <row r="296" customFormat="1" s="141">
      <c r="A296" s="189" t="inlineStr">
        <is>
          <t>Staff turnover rate after implementation</t>
        </is>
      </c>
      <c r="D296" s="146">
        <f>D292*(1-D294)</f>
        <v/>
      </c>
    </row>
    <row r="297" customFormat="1" s="141"/>
    <row r="298" customFormat="1" s="141">
      <c r="A298" s="189" t="inlineStr">
        <is>
          <t>Social efficiency (social result) for the organization</t>
        </is>
      </c>
      <c r="D298" s="146">
        <f>D292-D296</f>
        <v/>
      </c>
      <c r="E298" s="147" t="inlineStr">
        <is>
          <t>turnover reduction by this percentage</t>
        </is>
      </c>
    </row>
    <row r="299" customFormat="1" s="141"/>
    <row r="300" customFormat="1" s="141">
      <c r="A300" s="142" t="inlineStr">
        <is>
          <t>Example of calculating economic efficiency based on social efficiency (by analogy with Example 5)</t>
        </is>
      </c>
    </row>
    <row r="301" customFormat="1" s="141"/>
    <row r="302" customFormat="1" s="141">
      <c r="A302" s="141" t="inlineStr">
        <is>
          <t>First, let us calculate the reduction in the organization's costs due to lower staff turnover</t>
        </is>
      </c>
    </row>
    <row r="303" customFormat="1" s="141"/>
    <row r="304" customFormat="1" s="141">
      <c r="A304" s="189" t="inlineStr">
        <is>
          <t>Average salary of line staff</t>
        </is>
      </c>
      <c r="E304" s="148" t="n">
        <v>60</v>
      </c>
    </row>
    <row r="305" customFormat="1" s="141">
      <c r="A305" s="189" t="inlineStr">
        <is>
          <t>Cost of recruiting and onboarding 1 new employee, % of salary</t>
        </is>
      </c>
      <c r="E305" s="149" t="n">
        <v>0.2</v>
      </c>
      <c r="F305" s="147" t="inlineStr">
        <is>
          <t>for example, experts state that recruiting a new employee costs this percentage of salary</t>
        </is>
      </c>
    </row>
    <row r="306" customFormat="1" s="141">
      <c r="A306" s="189" t="inlineStr">
        <is>
          <t>Cost of recruiting and onboarding 1 new employee, RUB</t>
        </is>
      </c>
      <c r="E306" s="150">
        <f>E304*E305</f>
        <v/>
      </c>
    </row>
    <row r="307" customFormat="1" s="141">
      <c r="A307" s="189" t="inlineStr">
        <is>
          <t>Total recruiting and onboarding costs at staff turnover before implementation</t>
        </is>
      </c>
      <c r="E307" s="150">
        <f>E306*D291</f>
        <v/>
      </c>
    </row>
    <row r="308" customFormat="1" s="141">
      <c r="A308" s="189" t="inlineStr">
        <is>
          <t>Total recruiting and onboarding costs at staff turnover after implementation</t>
        </is>
      </c>
      <c r="E308" s="150">
        <f>E306*D290*D296</f>
        <v/>
      </c>
    </row>
    <row r="309" customFormat="1" s="141">
      <c r="A309" s="189" t="inlineStr">
        <is>
          <t>Reduction in recruiting and onboarding costs after implementation</t>
        </is>
      </c>
      <c r="E309" s="150">
        <f>E307-E308</f>
        <v/>
      </c>
    </row>
    <row r="310" customFormat="1" s="141"/>
    <row r="311" customFormat="1" s="141">
      <c r="A311" s="151" t="n"/>
      <c r="B311" s="153" t="inlineStr">
        <is>
          <t>Existing operations</t>
        </is>
      </c>
      <c r="C311" s="194" t="n"/>
      <c r="D311" s="195" t="n"/>
      <c r="E311" s="152" t="inlineStr">
        <is>
          <t>Scenario 1</t>
        </is>
      </c>
      <c r="F311" s="152" t="inlineStr">
        <is>
          <t>Scenario 2</t>
        </is>
      </c>
    </row>
    <row r="312" customFormat="1" s="141">
      <c r="A312" s="152" t="n"/>
      <c r="B312" s="153" t="inlineStr">
        <is>
          <t>Year 2023</t>
        </is>
      </c>
      <c r="C312" s="152" t="inlineStr">
        <is>
          <t>Year 2024</t>
        </is>
      </c>
      <c r="D312" s="152" t="inlineStr">
        <is>
          <t>Year 2025</t>
        </is>
      </c>
      <c r="E312" s="152" t="inlineStr">
        <is>
          <t>2026 forecast without implementation</t>
        </is>
      </c>
      <c r="F312" s="152" t="inlineStr">
        <is>
          <t>2026 forecast with implementation</t>
        </is>
      </c>
    </row>
    <row r="313" customFormat="1" s="141">
      <c r="A313" s="151" t="inlineStr">
        <is>
          <t>Revenue</t>
        </is>
      </c>
      <c r="B313" s="154" t="n">
        <v>700</v>
      </c>
      <c r="C313" s="155" t="n">
        <v>750</v>
      </c>
      <c r="D313" s="155" t="n">
        <v>730</v>
      </c>
      <c r="E313" s="156">
        <f>AVERAGE(B313:D313)</f>
        <v/>
      </c>
      <c r="F313" s="157">
        <f>AVERAGE(B313:D313)</f>
        <v/>
      </c>
    </row>
    <row r="314" customFormat="1" s="141">
      <c r="A314" s="151" t="inlineStr">
        <is>
          <t>Costs</t>
        </is>
      </c>
      <c r="B314" s="154" t="n">
        <v>400</v>
      </c>
      <c r="C314" s="155" t="n">
        <v>450</v>
      </c>
      <c r="D314" s="155" t="n">
        <v>420</v>
      </c>
      <c r="E314" s="157">
        <f>E313*E321</f>
        <v/>
      </c>
      <c r="F314" s="158">
        <f>E314-C325</f>
        <v/>
      </c>
    </row>
    <row r="315" customFormat="1" s="141">
      <c r="A315" s="151" t="inlineStr">
        <is>
          <t>Profit</t>
        </is>
      </c>
      <c r="B315" s="156">
        <f>B313-B314</f>
        <v/>
      </c>
      <c r="C315" s="156">
        <f>C313-C314</f>
        <v/>
      </c>
      <c r="D315" s="156">
        <f>D313-D314</f>
        <v/>
      </c>
      <c r="E315" s="156">
        <f>E313-E314</f>
        <v/>
      </c>
      <c r="F315" s="156">
        <f>F313-F314</f>
        <v/>
      </c>
      <c r="G315" s="156">
        <f>F315-E315</f>
        <v/>
      </c>
    </row>
    <row r="316" customFormat="1" s="141">
      <c r="A316" s="151" t="inlineStr">
        <is>
          <t>Cost profitability</t>
        </is>
      </c>
      <c r="B316" s="159">
        <f>B315/B314</f>
        <v/>
      </c>
      <c r="C316" s="159">
        <f>C315/C314</f>
        <v/>
      </c>
      <c r="D316" s="159">
        <f>D315/D314</f>
        <v/>
      </c>
      <c r="E316" s="5">
        <f>E315/E314</f>
        <v/>
      </c>
      <c r="F316" s="166">
        <f>F315/F314</f>
        <v/>
      </c>
      <c r="G316" s="160" t="inlineStr">
        <is>
          <t>profit increase</t>
        </is>
      </c>
    </row>
    <row r="317" customFormat="1" s="141">
      <c r="A317" s="151" t="inlineStr">
        <is>
          <t>Sales profitability</t>
        </is>
      </c>
      <c r="B317" s="159">
        <f>B315/B313</f>
        <v/>
      </c>
      <c r="C317" s="159">
        <f>C315/C313</f>
        <v/>
      </c>
      <c r="D317" s="159">
        <f>D315/D313</f>
        <v/>
      </c>
      <c r="E317" s="159">
        <f>E315/E313</f>
        <v/>
      </c>
      <c r="F317" s="159">
        <f>F315/F313</f>
        <v/>
      </c>
    </row>
    <row r="318" customFormat="1" s="141">
      <c r="B318" s="161" t="n"/>
      <c r="C318" s="161" t="n"/>
      <c r="D318" s="161" t="n"/>
      <c r="E318" s="161" t="n"/>
      <c r="F318" s="161" t="n"/>
    </row>
    <row r="319" customFormat="1" s="141">
      <c r="B319" s="161" t="n"/>
      <c r="C319" s="161" t="n"/>
      <c r="D319" s="161" t="n"/>
      <c r="E319" s="161" t="n"/>
      <c r="F319" s="161" t="n"/>
    </row>
    <row r="320" customFormat="1" s="141">
      <c r="A320" s="151" t="n"/>
      <c r="B320" s="152" t="n">
        <v>2023</v>
      </c>
      <c r="C320" s="152" t="n">
        <v>2024</v>
      </c>
      <c r="D320" s="152" t="n">
        <v>2025</v>
      </c>
      <c r="E320" s="152" t="inlineStr">
        <is>
          <t>Average (forecast for 2026)</t>
        </is>
      </c>
    </row>
    <row r="321" customFormat="1" s="141">
      <c r="A321" s="151" t="inlineStr">
        <is>
          <t>Cost share in revenue</t>
        </is>
      </c>
      <c r="B321" s="162">
        <f>B314/B313</f>
        <v/>
      </c>
      <c r="C321" s="162">
        <f>C314/C313</f>
        <v/>
      </c>
      <c r="D321" s="162">
        <f>D314/D313</f>
        <v/>
      </c>
      <c r="E321" s="163">
        <f>AVERAGE(B321:D321)</f>
        <v/>
      </c>
    </row>
    <row r="322" customFormat="1" s="141"/>
    <row r="323" customFormat="1" s="141">
      <c r="A323" s="141" t="inlineStr">
        <is>
          <t>In 2026, some project to improve the motivation system of line staff is planned</t>
        </is>
      </c>
    </row>
    <row r="324" customFormat="1" s="141">
      <c r="A324" s="193" t="inlineStr">
        <is>
          <t>Project costs (investment):</t>
        </is>
      </c>
      <c r="C324" s="164" t="n">
        <v>40</v>
      </c>
    </row>
    <row r="325" customFormat="1" s="141">
      <c r="A325" s="193" t="inlineStr">
        <is>
          <t>Planned cost reduction</t>
        </is>
      </c>
      <c r="C325" s="165">
        <f>E309</f>
        <v/>
      </c>
      <c r="D325" s="147" t="inlineStr">
        <is>
          <t>we have already calculated this figure above</t>
        </is>
      </c>
    </row>
    <row r="326" customFormat="1" s="141"/>
    <row r="327" customFormat="1" s="141">
      <c r="A327" s="141" t="inlineStr">
        <is>
          <t>Effect</t>
        </is>
      </c>
      <c r="B327" s="1">
        <f>G315-C324</f>
        <v/>
      </c>
    </row>
    <row r="328" customFormat="1" s="141">
      <c r="A328" s="141" t="inlineStr">
        <is>
          <t>Efficiency (ROI)</t>
        </is>
      </c>
      <c r="B328" s="2">
        <f>B327/C324</f>
        <v/>
      </c>
    </row>
    <row r="329" customFormat="1" s="141">
      <c r="B329" s="161" t="n"/>
    </row>
    <row r="330" customFormat="1" s="141">
      <c r="A330" s="147" t="inlineStr">
        <is>
          <t>If, after changing the input figures, the effect in the first year is negative, then calculate payback over several years (by analogy with Example 6)</t>
        </is>
      </c>
      <c r="B330" s="161" t="n"/>
    </row>
    <row r="331" customFormat="1" s="141"/>
    <row r="332" customFormat="1" s="4"/>
  </sheetData>
  <mergeCells count="59">
    <mergeCell ref="A309:D309"/>
    <mergeCell ref="A292:C292"/>
    <mergeCell ref="A148:B148"/>
    <mergeCell ref="A15:B15"/>
    <mergeCell ref="A233:C233"/>
    <mergeCell ref="A98:B98"/>
    <mergeCell ref="A273:C273"/>
    <mergeCell ref="A277:C277"/>
    <mergeCell ref="A238:C238"/>
    <mergeCell ref="A236:C236"/>
    <mergeCell ref="A325:B325"/>
    <mergeCell ref="B88:D88"/>
    <mergeCell ref="A1:E1"/>
    <mergeCell ref="A294:C294"/>
    <mergeCell ref="A239:C239"/>
    <mergeCell ref="E125:H125"/>
    <mergeCell ref="A272:C272"/>
    <mergeCell ref="A235:C235"/>
    <mergeCell ref="A308:D308"/>
    <mergeCell ref="A242:C242"/>
    <mergeCell ref="A278:C278"/>
    <mergeCell ref="A298:C298"/>
    <mergeCell ref="A234:C234"/>
    <mergeCell ref="A164:B164"/>
    <mergeCell ref="A304:D304"/>
    <mergeCell ref="A290:C290"/>
    <mergeCell ref="D151:H151"/>
    <mergeCell ref="E175:H175"/>
    <mergeCell ref="A149:B149"/>
    <mergeCell ref="A240:C240"/>
    <mergeCell ref="A280:C280"/>
    <mergeCell ref="A3:E3"/>
    <mergeCell ref="A274:C274"/>
    <mergeCell ref="A2:E2"/>
    <mergeCell ref="A293:C293"/>
    <mergeCell ref="A276:C276"/>
    <mergeCell ref="A305:D305"/>
    <mergeCell ref="A279:C279"/>
    <mergeCell ref="A159:B159"/>
    <mergeCell ref="E155:H155"/>
    <mergeCell ref="A97:B97"/>
    <mergeCell ref="A324:B324"/>
    <mergeCell ref="B125:D125"/>
    <mergeCell ref="A275:C275"/>
    <mergeCell ref="A4:E4"/>
    <mergeCell ref="A291:C291"/>
    <mergeCell ref="B311:D311"/>
    <mergeCell ref="A241:C241"/>
    <mergeCell ref="A281:C281"/>
    <mergeCell ref="A296:C296"/>
    <mergeCell ref="A161:B161"/>
    <mergeCell ref="A306:D306"/>
    <mergeCell ref="A117:B117"/>
    <mergeCell ref="A111:B111"/>
    <mergeCell ref="E166:H166"/>
    <mergeCell ref="A237:C237"/>
    <mergeCell ref="E133:H133"/>
    <mergeCell ref="A307:D307"/>
    <mergeCell ref="A114:B114"/>
  </mergeCells>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Andrey Pereverzev</dc:creator>
  <dcterms:created xmlns:dcterms="http://purl.org/dc/terms/" xmlns:xsi="http://www.w3.org/2001/XMLSchema-instance" xsi:type="dcterms:W3CDTF">2026-02-17T16:29:39Z</dcterms:created>
  <dcterms:modified xmlns:dcterms="http://purl.org/dc/terms/" xmlns:xsi="http://www.w3.org/2001/XMLSchema-instance" xsi:type="dcterms:W3CDTF">2026-04-18T00:56:12Z</dcterms:modified>
  <cp:lastModifiedBy>Andrey Pereverzev</cp:lastModifiedBy>
</cp:coreProperties>
</file>