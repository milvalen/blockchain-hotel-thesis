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erprise efficiency" sheetId="1" state="visible" r:id="rId1"/>
    <sheet xmlns:r="http://schemas.openxmlformats.org/officeDocument/2006/relationships" name="turnover reduction measures" sheetId="2" state="visible" r:id="rId2"/>
    <sheet xmlns:r="http://schemas.openxmlformats.org/officeDocument/2006/relationships" name="implementation efficiency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9" fontId="2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3" fillId="0" borderId="0" pivotButton="0" quotePrefix="0" xfId="0"/>
    <xf numFmtId="0" fontId="4" fillId="0" borderId="0" pivotButton="0" quotePrefix="0" xfId="0"/>
    <xf numFmtId="9" fontId="4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9"/>
  <sheetViews>
    <sheetView workbookViewId="0">
      <selection activeCell="A1" sqref="A1"/>
    </sheetView>
  </sheetViews>
  <sheetFormatPr baseColWidth="8" defaultColWidth="12.63" defaultRowHeight="15.75" customHeight="1"/>
  <cols>
    <col width="21" customWidth="1" style="15" min="1" max="1"/>
    <col width="25" customWidth="1" style="15" min="3" max="3"/>
    <col width="23.13" customWidth="1" style="15" min="5" max="5"/>
  </cols>
  <sheetData>
    <row r="1">
      <c r="A1" s="7" t="inlineStr">
        <is>
          <t>variables</t>
        </is>
      </c>
      <c r="B1" s="2" t="n"/>
      <c r="C1" s="2" t="n"/>
      <c r="D1" s="2" t="n"/>
      <c r="E1" s="2" t="n"/>
    </row>
    <row r="2">
      <c r="A2" s="2" t="inlineStr">
        <is>
          <t>investment</t>
        </is>
      </c>
      <c r="B2" s="3" t="n">
        <v>14000</v>
      </c>
      <c r="C2" s="2" t="n"/>
      <c r="D2" s="2" t="n"/>
      <c r="E2" s="2" t="n"/>
    </row>
    <row r="3">
      <c r="A3" s="2" t="inlineStr">
        <is>
          <t>revenue</t>
        </is>
      </c>
      <c r="B3" s="3" t="n">
        <v>8000</v>
      </c>
      <c r="C3" s="2" t="n"/>
      <c r="D3" s="2" t="n"/>
      <c r="E3" s="2" t="n"/>
    </row>
    <row r="4">
      <c r="A4" s="2" t="inlineStr">
        <is>
          <t xml:space="preserve">cost </t>
        </is>
      </c>
      <c r="B4" s="3" t="n">
        <v>2000</v>
      </c>
      <c r="C4" s="2" t="n"/>
      <c r="D4" s="2" t="n"/>
      <c r="E4" s="2" t="n"/>
    </row>
    <row r="5">
      <c r="A5" s="2" t="inlineStr">
        <is>
          <t>profit</t>
        </is>
      </c>
      <c r="B5" s="3">
        <f>B3-B4</f>
        <v/>
      </c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7" t="inlineStr">
        <is>
          <t>efficiency</t>
        </is>
      </c>
      <c r="B7" s="2" t="n"/>
      <c r="C7" s="2" t="n"/>
      <c r="D7" s="2" t="n"/>
      <c r="E7" s="2" t="n"/>
    </row>
    <row r="8">
      <c r="A8" s="2" t="inlineStr">
        <is>
          <t>investment</t>
        </is>
      </c>
      <c r="B8" s="4">
        <f>(B5-B2)/B2</f>
        <v/>
      </c>
      <c r="C8" s="2" t="n"/>
      <c r="D8" s="2" t="n"/>
      <c r="E8" s="2" t="n"/>
    </row>
    <row r="9">
      <c r="A9" s="2" t="inlineStr">
        <is>
          <t>sales</t>
        </is>
      </c>
      <c r="B9" s="4">
        <f>B5/B3</f>
        <v/>
      </c>
      <c r="C9" s="2" t="n"/>
      <c r="D9" s="2" t="n"/>
      <c r="E9" s="2" t="n"/>
    </row>
    <row r="10">
      <c r="A10" s="2" t="inlineStr">
        <is>
          <t>payback period</t>
        </is>
      </c>
      <c r="B10" s="3">
        <f>B2/B5*12</f>
        <v/>
      </c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7" t="inlineStr">
        <is>
          <t>comparison with bank</t>
        </is>
      </c>
      <c r="B12" s="2" t="n"/>
      <c r="C12" s="2" t="n"/>
      <c r="D12" s="2" t="n"/>
      <c r="E12" s="2" t="n"/>
    </row>
    <row r="13">
      <c r="A13" s="2" t="inlineStr">
        <is>
          <t>deposit rate</t>
        </is>
      </c>
      <c r="B13" s="5" t="n">
        <v>0.03</v>
      </c>
      <c r="C13" s="2" t="n"/>
      <c r="D13" s="2" t="n"/>
      <c r="E13" s="2" t="n"/>
    </row>
    <row r="14">
      <c r="A14" s="2" t="inlineStr">
        <is>
          <t>deposit income</t>
        </is>
      </c>
      <c r="B14" s="3">
        <f>B2*(1+B13*1)</f>
        <v/>
      </c>
      <c r="D14" s="2" t="n"/>
      <c r="E14" s="2" t="n"/>
    </row>
    <row r="15">
      <c r="A15" s="2" t="inlineStr">
        <is>
          <t>net income</t>
        </is>
      </c>
      <c r="B15" s="3">
        <f>B14-B2</f>
        <v/>
      </c>
      <c r="C15" s="2" t="n"/>
      <c r="D15" s="2" t="n"/>
      <c r="E15" s="2" t="n"/>
    </row>
    <row r="16">
      <c r="A16" s="2" t="inlineStr">
        <is>
          <t>difference</t>
        </is>
      </c>
      <c r="B16" s="3">
        <f>B5-B15</f>
        <v/>
      </c>
      <c r="C16" s="2" t="n"/>
      <c r="D16" s="2" t="n"/>
      <c r="E16" s="2" t="n"/>
    </row>
    <row r="17">
      <c r="A17" s="2" t="inlineStr">
        <is>
          <t>conclusion</t>
        </is>
      </c>
      <c r="B17" s="6">
        <f>GT(B16,0)</f>
        <v/>
      </c>
      <c r="C17" s="2" t="inlineStr">
        <is>
          <t>the project is more profitable if TRUE</t>
        </is>
      </c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7" t="inlineStr">
        <is>
          <t>compound interest</t>
        </is>
      </c>
      <c r="B19" s="7" t="inlineStr">
        <is>
          <t>revenue</t>
        </is>
      </c>
      <c r="C19" s="7" t="inlineStr">
        <is>
          <t xml:space="preserve">cost </t>
        </is>
      </c>
      <c r="D19" s="7" t="inlineStr">
        <is>
          <t>profit FV</t>
        </is>
      </c>
      <c r="E19" s="7" t="inlineStr">
        <is>
          <t>profit FV with deposit</t>
        </is>
      </c>
    </row>
    <row r="20">
      <c r="A20" s="2" t="inlineStr">
        <is>
          <t>year 1</t>
        </is>
      </c>
      <c r="B20" s="3" t="n">
        <v>8000</v>
      </c>
      <c r="C20" s="3" t="n">
        <v>541.4299999999999</v>
      </c>
      <c r="D20" s="3">
        <f>B20-C20</f>
        <v/>
      </c>
      <c r="E20" s="3">
        <f>D20*(1+B13)^3</f>
        <v/>
      </c>
    </row>
    <row r="21">
      <c r="A21" s="2" t="inlineStr">
        <is>
          <t>year 2</t>
        </is>
      </c>
      <c r="B21" s="3" t="n">
        <v>8000</v>
      </c>
      <c r="C21" s="3" t="n">
        <v>550</v>
      </c>
      <c r="D21" s="3">
        <f>B21-C21</f>
        <v/>
      </c>
      <c r="E21" s="3">
        <f>D21*(1+B13)^2</f>
        <v/>
      </c>
    </row>
    <row r="22">
      <c r="A22" s="2" t="inlineStr">
        <is>
          <t>year 3</t>
        </is>
      </c>
      <c r="B22" s="3" t="n">
        <v>8000</v>
      </c>
      <c r="C22" s="3" t="n">
        <v>880</v>
      </c>
      <c r="D22" s="3">
        <f>B22-C22</f>
        <v/>
      </c>
      <c r="E22" s="3">
        <f>D22*(1+B13)^1</f>
        <v/>
      </c>
    </row>
    <row r="23">
      <c r="A23" s="2" t="inlineStr">
        <is>
          <t>year 4</t>
        </is>
      </c>
      <c r="B23" s="3" t="n">
        <v>8000</v>
      </c>
      <c r="C23" s="3" t="n">
        <v>888</v>
      </c>
      <c r="D23" s="3">
        <f>B23-C23</f>
        <v/>
      </c>
      <c r="E23" s="3">
        <f>D23*(1+B13)^0</f>
        <v/>
      </c>
    </row>
    <row r="24">
      <c r="A24" s="2" t="inlineStr">
        <is>
          <t>total</t>
        </is>
      </c>
      <c r="B24" s="3">
        <f>SUM(B20:B23)</f>
        <v/>
      </c>
      <c r="C24" s="3">
        <f>SUM(C20:C23)</f>
        <v/>
      </c>
      <c r="D24" s="3">
        <f>SUM(D20:D23)</f>
        <v/>
      </c>
      <c r="E24" s="3">
        <f>SUM(E20:E23)</f>
        <v/>
      </c>
    </row>
    <row r="25">
      <c r="A25" s="2" t="n"/>
      <c r="B25" s="2" t="n"/>
      <c r="C25" s="2" t="n"/>
      <c r="D25" s="2" t="n"/>
      <c r="E25" s="2" t="n"/>
    </row>
    <row r="26">
      <c r="A26" s="7" t="inlineStr">
        <is>
          <t>bank effect</t>
        </is>
      </c>
      <c r="B26" s="2" t="n"/>
      <c r="C26" s="2" t="n"/>
      <c r="D26" s="2" t="n"/>
      <c r="E26" s="2" t="n"/>
    </row>
    <row r="27">
      <c r="A27" s="2" t="inlineStr">
        <is>
          <t>bank income</t>
        </is>
      </c>
      <c r="B27" s="3">
        <f>B2*(1+B13)^4-B2</f>
        <v/>
      </c>
      <c r="C27" s="2" t="n"/>
      <c r="D27" s="2" t="n"/>
      <c r="E27" s="2" t="n"/>
    </row>
    <row r="28">
      <c r="A28" s="2" t="inlineStr">
        <is>
          <t>project income</t>
        </is>
      </c>
      <c r="B28" s="3">
        <f>E24-B2</f>
        <v/>
      </c>
      <c r="C28" s="2" t="n"/>
      <c r="D28" s="2" t="n"/>
      <c r="E28" s="2" t="n"/>
    </row>
    <row r="29">
      <c r="A29" s="2" t="inlineStr">
        <is>
          <t>difference</t>
        </is>
      </c>
      <c r="B29" s="3">
        <f>B28-B27</f>
        <v/>
      </c>
      <c r="C29" s="2" t="n"/>
      <c r="D29" s="2" t="n"/>
      <c r="E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C15"/>
  <sheetViews>
    <sheetView workbookViewId="0">
      <selection activeCell="A1" sqref="A1"/>
    </sheetView>
  </sheetViews>
  <sheetFormatPr baseColWidth="8" defaultColWidth="12.63" defaultRowHeight="15.75" customHeight="1"/>
  <cols>
    <col width="32.5" customWidth="1" style="15" min="1" max="1"/>
  </cols>
  <sheetData>
    <row r="1">
      <c r="A1" s="8" t="inlineStr">
        <is>
          <t>variables</t>
        </is>
      </c>
    </row>
    <row r="2">
      <c r="A2" s="11" t="inlineStr">
        <is>
          <t>average number of employees</t>
        </is>
      </c>
      <c r="B2" s="11" t="n">
        <v>454</v>
      </c>
    </row>
    <row r="3">
      <c r="A3" s="11" t="inlineStr">
        <is>
          <t>number of dismissed employees</t>
        </is>
      </c>
      <c r="B3" s="11" t="n">
        <v>343</v>
      </c>
    </row>
    <row r="4">
      <c r="A4" s="11" t="inlineStr">
        <is>
          <t>turnover reduction factor</t>
        </is>
      </c>
      <c r="B4" s="10" t="n">
        <v>0.12</v>
      </c>
    </row>
    <row r="5">
      <c r="A5" s="11" t="inlineStr">
        <is>
          <t>average salary</t>
        </is>
      </c>
      <c r="B5" s="11" t="n">
        <v>70</v>
      </c>
    </row>
    <row r="6">
      <c r="A6" s="11" t="inlineStr">
        <is>
          <t>recruitment cost as share of salary</t>
        </is>
      </c>
      <c r="B6" s="10" t="n">
        <v>0.25</v>
      </c>
      <c r="C6" s="11">
        <f>B5*B6</f>
        <v/>
      </c>
    </row>
    <row r="7"/>
    <row r="8">
      <c r="A8" s="8" t="inlineStr">
        <is>
          <t>turnover</t>
        </is>
      </c>
      <c r="B8" s="12">
        <f>B3/B2</f>
        <v/>
      </c>
    </row>
    <row r="9">
      <c r="A9" s="11" t="inlineStr">
        <is>
          <t>FV</t>
        </is>
      </c>
      <c r="B9" s="12">
        <f>B8*(1-B4)</f>
        <v/>
      </c>
    </row>
    <row r="10">
      <c r="A10" s="11" t="inlineStr">
        <is>
          <t>FV of dismissed employees per year</t>
        </is>
      </c>
      <c r="B10" s="13">
        <f>B2*B9</f>
        <v/>
      </c>
    </row>
    <row r="11">
      <c r="A11" s="11" t="inlineStr">
        <is>
          <t>social result</t>
        </is>
      </c>
      <c r="B11" s="12">
        <f>B8-B9</f>
        <v/>
      </c>
    </row>
    <row r="12"/>
    <row r="13">
      <c r="A13" s="8" t="inlineStr">
        <is>
          <t>total recruitment costs</t>
        </is>
      </c>
      <c r="B13" s="11">
        <f>B3*C6</f>
        <v/>
      </c>
    </row>
    <row r="14">
      <c r="A14" s="11" t="inlineStr">
        <is>
          <t>FV</t>
        </is>
      </c>
      <c r="B14" s="11">
        <f>B10*C6</f>
        <v/>
      </c>
    </row>
    <row r="15">
      <c r="A15" s="11" t="inlineStr">
        <is>
          <t>FV reduction</t>
        </is>
      </c>
      <c r="B15" s="11">
        <f>B13-B14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0"/>
  <sheetViews>
    <sheetView workbookViewId="0">
      <selection activeCell="A1" sqref="A1"/>
    </sheetView>
  </sheetViews>
  <sheetFormatPr baseColWidth="8" defaultColWidth="12.63" defaultRowHeight="15.75" customHeight="1"/>
  <cols>
    <col width="19.63" customWidth="1" style="15" min="1" max="1"/>
    <col width="23.25" customWidth="1" style="15" min="4" max="4"/>
  </cols>
  <sheetData>
    <row r="1">
      <c r="A1" s="8" t="inlineStr">
        <is>
          <t>variables</t>
        </is>
      </c>
    </row>
    <row r="2">
      <c r="A2" s="11" t="inlineStr">
        <is>
          <t>implementation costs</t>
        </is>
      </c>
      <c r="B2" s="11" t="n">
        <v>30</v>
      </c>
    </row>
    <row r="3"/>
    <row r="4">
      <c r="A4" s="8" t="inlineStr">
        <is>
          <t>profitability</t>
        </is>
      </c>
      <c r="B4" s="11" t="inlineStr">
        <is>
          <t>costs</t>
        </is>
      </c>
      <c r="C4" s="11" t="inlineStr">
        <is>
          <t>sales</t>
        </is>
      </c>
      <c r="D4" s="11" t="inlineStr">
        <is>
          <t>cost share in revenue</t>
        </is>
      </c>
    </row>
    <row r="5">
      <c r="A5" s="11" t="inlineStr">
        <is>
          <t>year 1</t>
        </is>
      </c>
      <c r="B5" s="12">
        <f>'enterprise efficiency'!D20/'enterprise efficiency'!C20</f>
        <v/>
      </c>
      <c r="C5" s="12">
        <f>'enterprise efficiency'!D20/'enterprise efficiency'!B20</f>
        <v/>
      </c>
      <c r="D5" s="12">
        <f>'enterprise efficiency'!C20/'enterprise efficiency'!B20</f>
        <v/>
      </c>
    </row>
    <row r="6">
      <c r="A6" s="2" t="inlineStr">
        <is>
          <t>year 2</t>
        </is>
      </c>
      <c r="B6" s="12">
        <f>'enterprise efficiency'!D21/'enterprise efficiency'!C21</f>
        <v/>
      </c>
      <c r="C6" s="12">
        <f>'enterprise efficiency'!D21/'enterprise efficiency'!B21</f>
        <v/>
      </c>
      <c r="D6" s="12">
        <f>'enterprise efficiency'!C21/'enterprise efficiency'!B21</f>
        <v/>
      </c>
    </row>
    <row r="7">
      <c r="A7" s="2" t="inlineStr">
        <is>
          <t>year 3</t>
        </is>
      </c>
      <c r="B7" s="12">
        <f>'enterprise efficiency'!D22/'enterprise efficiency'!C22</f>
        <v/>
      </c>
      <c r="C7" s="12">
        <f>'enterprise efficiency'!D22/'enterprise efficiency'!B22</f>
        <v/>
      </c>
      <c r="D7" s="12">
        <f>'enterprise efficiency'!C22/'enterprise efficiency'!B22</f>
        <v/>
      </c>
    </row>
    <row r="8">
      <c r="A8" s="2" t="inlineStr">
        <is>
          <t>year 4</t>
        </is>
      </c>
      <c r="B8" s="12">
        <f>'enterprise efficiency'!D23/'enterprise efficiency'!C23</f>
        <v/>
      </c>
      <c r="C8" s="12">
        <f>'enterprise efficiency'!D23/'enterprise efficiency'!B23</f>
        <v/>
      </c>
      <c r="D8" s="12">
        <f>'enterprise efficiency'!C23/'enterprise efficiency'!B23</f>
        <v/>
      </c>
    </row>
    <row r="9">
      <c r="A9" s="11" t="inlineStr">
        <is>
          <t>average</t>
        </is>
      </c>
      <c r="B9" s="12">
        <f>AVERAGE(B5:B8)</f>
        <v/>
      </c>
      <c r="C9" s="12">
        <f>AVERAGE(C5:C8)</f>
        <v/>
      </c>
      <c r="D9" s="12">
        <f>AVERAGE(D5:D8)</f>
        <v/>
      </c>
    </row>
    <row r="10"/>
    <row r="11">
      <c r="A11" s="8" t="inlineStr">
        <is>
          <t>average indicators</t>
        </is>
      </c>
      <c r="B11" s="11" t="inlineStr">
        <is>
          <t>before implementation</t>
        </is>
      </c>
      <c r="C11" s="11" t="inlineStr">
        <is>
          <t>after implementation</t>
        </is>
      </c>
    </row>
    <row r="12">
      <c r="A12" s="11" t="inlineStr">
        <is>
          <t>revenue</t>
        </is>
      </c>
      <c r="B12" s="11">
        <f>AVERAGE('enterprise efficiency'!B20:B23)</f>
        <v/>
      </c>
      <c r="C12" s="11">
        <f>AVERAGE('enterprise efficiency'!B20:B23)</f>
        <v/>
      </c>
    </row>
    <row r="13">
      <c r="A13" s="11" t="inlineStr">
        <is>
          <t>costs</t>
        </is>
      </c>
      <c r="B13" s="11">
        <f>AVERAGE('enterprise efficiency'!C20:C23)+'turnover reduction measures'!B13</f>
        <v/>
      </c>
      <c r="C13" s="11">
        <f>AVERAGE('enterprise efficiency'!C20:C23)+'turnover reduction measures'!B14</f>
        <v/>
      </c>
    </row>
    <row r="14">
      <c r="A14" s="11" t="inlineStr">
        <is>
          <t>profit</t>
        </is>
      </c>
      <c r="B14" s="11">
        <f>B12-B13</f>
        <v/>
      </c>
      <c r="C14" s="11">
        <f>C12-C13</f>
        <v/>
      </c>
    </row>
    <row r="15">
      <c r="A15" s="11" t="inlineStr">
        <is>
          <t>cost profitability</t>
        </is>
      </c>
      <c r="B15" s="12">
        <f>B14/B13</f>
        <v/>
      </c>
      <c r="C15" s="12">
        <f>C14/C13</f>
        <v/>
      </c>
    </row>
    <row r="16">
      <c r="A16" s="11" t="inlineStr">
        <is>
          <t>sales profitability</t>
        </is>
      </c>
      <c r="B16" s="12">
        <f>B14/B12</f>
        <v/>
      </c>
      <c r="C16" s="12">
        <f>C14/C12</f>
        <v/>
      </c>
    </row>
    <row r="17"/>
    <row r="18">
      <c r="A18" s="8" t="inlineStr">
        <is>
          <t>profit increase</t>
        </is>
      </c>
      <c r="B18" s="11">
        <f>C14-B14</f>
        <v/>
      </c>
    </row>
    <row r="19">
      <c r="A19" s="8" t="inlineStr">
        <is>
          <t>implementation effect</t>
        </is>
      </c>
      <c r="B19" s="11">
        <f>B18-B2</f>
        <v/>
      </c>
    </row>
    <row r="20">
      <c r="A20" s="8" t="inlineStr">
        <is>
          <t>efficiency</t>
        </is>
      </c>
      <c r="B20" s="14">
        <f>B19/B2</f>
        <v/>
      </c>
      <c r="C20" s="11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2026-04-18T01:11:39Z</dcterms:created>
  <dcterms:modified xmlns:dcterms="http://purl.org/dc/terms/" xmlns:xsi="http://www.w3.org/2001/XMLSchema-instance" xsi:type="dcterms:W3CDTF">2026-04-18T01:14:17Z</dcterms:modified>
</cp:coreProperties>
</file>